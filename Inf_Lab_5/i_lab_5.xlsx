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<sst xmlns="http://schemas.openxmlformats.org/spreadsheetml/2006/main" count="383" uniqueCount="68">
  <si>
    <t xml:space="preserve">A = </t>
  </si>
  <si>
    <t xml:space="preserve">C = </t>
  </si>
  <si>
    <t xml:space="preserve">X1 =</t>
  </si>
  <si>
    <t xml:space="preserve">В1 =</t>
  </si>
  <si>
    <t xml:space="preserve">.</t>
  </si>
  <si>
    <t xml:space="preserve">X2 =</t>
  </si>
  <si>
    <t xml:space="preserve">В2 =</t>
  </si>
  <si>
    <t xml:space="preserve">X3 =</t>
  </si>
  <si>
    <t xml:space="preserve">A+C = </t>
  </si>
  <si>
    <t xml:space="preserve">В3 =</t>
  </si>
  <si>
    <t xml:space="preserve">X4 =</t>
  </si>
  <si>
    <t xml:space="preserve">A + C+ C = </t>
  </si>
  <si>
    <t xml:space="preserve">В4 =</t>
  </si>
  <si>
    <t xml:space="preserve">X5 =</t>
  </si>
  <si>
    <t xml:space="preserve">C — A = </t>
  </si>
  <si>
    <t xml:space="preserve">В5 =</t>
  </si>
  <si>
    <t xml:space="preserve">X6 =</t>
  </si>
  <si>
    <t xml:space="preserve">65536 — X4 = </t>
  </si>
  <si>
    <t xml:space="preserve">В6 =</t>
  </si>
  <si>
    <t xml:space="preserve">X7 =</t>
  </si>
  <si>
    <t xml:space="preserve">- X1 =</t>
  </si>
  <si>
    <t xml:space="preserve">В7 =</t>
  </si>
  <si>
    <t xml:space="preserve">X8 =</t>
  </si>
  <si>
    <t xml:space="preserve">- X2 = </t>
  </si>
  <si>
    <t xml:space="preserve">В8 =</t>
  </si>
  <si>
    <t xml:space="preserve">X9 =</t>
  </si>
  <si>
    <t xml:space="preserve">- X3 =</t>
  </si>
  <si>
    <t xml:space="preserve">В9 =</t>
  </si>
  <si>
    <t xml:space="preserve">X10 =</t>
  </si>
  <si>
    <t xml:space="preserve">- X4 =</t>
  </si>
  <si>
    <t xml:space="preserve">В10 =</t>
  </si>
  <si>
    <t xml:space="preserve">X11 =</t>
  </si>
  <si>
    <t xml:space="preserve">- X5 =</t>
  </si>
  <si>
    <t xml:space="preserve">В11 =</t>
  </si>
  <si>
    <t xml:space="preserve">X12 =</t>
  </si>
  <si>
    <t xml:space="preserve">- X6 =</t>
  </si>
  <si>
    <t xml:space="preserve">В12 =</t>
  </si>
  <si>
    <t xml:space="preserve">бит переноса</t>
  </si>
  <si>
    <t xml:space="preserve">В1 +</t>
  </si>
  <si>
    <t xml:space="preserve">X1+</t>
  </si>
  <si>
    <t xml:space="preserve">X2=</t>
  </si>
  <si>
    <t xml:space="preserve">----</t>
  </si>
  <si>
    <t xml:space="preserve">------------</t>
  </si>
  <si>
    <t xml:space="preserve">результат</t>
  </si>
  <si>
    <t xml:space="preserve">=</t>
  </si>
  <si>
    <t xml:space="preserve">OF=</t>
  </si>
  <si>
    <t xml:space="preserve">AF =</t>
  </si>
  <si>
    <t xml:space="preserve">PF =</t>
  </si>
  <si>
    <t xml:space="preserve">SF=</t>
  </si>
  <si>
    <t xml:space="preserve">ZF=</t>
  </si>
  <si>
    <t xml:space="preserve">CF =</t>
  </si>
  <si>
    <t xml:space="preserve">В2 +</t>
  </si>
  <si>
    <t xml:space="preserve">X2+</t>
  </si>
  <si>
    <t xml:space="preserve">X3=</t>
  </si>
  <si>
    <t xml:space="preserve">-----------</t>
  </si>
  <si>
    <t xml:space="preserve">X7=</t>
  </si>
  <si>
    <t xml:space="preserve">---</t>
  </si>
  <si>
    <t xml:space="preserve">В7 +</t>
  </si>
  <si>
    <t xml:space="preserve">X7+</t>
  </si>
  <si>
    <t xml:space="preserve">X8 = </t>
  </si>
  <si>
    <t xml:space="preserve">В8 +</t>
  </si>
  <si>
    <t xml:space="preserve">X8+</t>
  </si>
  <si>
    <t xml:space="preserve">X9 = </t>
  </si>
  <si>
    <t xml:space="preserve">---------</t>
  </si>
  <si>
    <t xml:space="preserve">--------</t>
  </si>
  <si>
    <t xml:space="preserve">В11+</t>
  </si>
  <si>
    <t xml:space="preserve">X11 +</t>
  </si>
  <si>
    <t xml:space="preserve">-------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</si>
</sst>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76"/>
  <sheetViews>
    <sheetView showFormulas="false" showGridLines="true" showRowColHeaders="true" showZeros="true" rightToLeft="false" tabSelected="true" showOutlineSymbols="true" defaultGridColor="true" view="normal" topLeftCell="F22" colorId="64" zoomScale="145" zoomScaleNormal="145" zoomScalePageLayoutView="100" workbookViewId="0">
      <selection pane="topLeft" activeCell="W47" activeCellId="0" sqref="W4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3.52"/>
    <col collapsed="false" customWidth="false" hidden="false" outlineLevel="0" max="5" min="3" style="1" width="11.53"/>
    <col collapsed="false" customWidth="true" hidden="false" outlineLevel="0" max="10" min="6" style="1" width="3.21"/>
    <col collapsed="false" customWidth="true" hidden="false" outlineLevel="0" max="11" min="11" style="1" width="1.24"/>
    <col collapsed="false" customWidth="true" hidden="false" outlineLevel="0" max="15" min="12" style="1" width="3.21"/>
    <col collapsed="false" customWidth="true" hidden="false" outlineLevel="0" max="16" min="16" style="1" width="1.24"/>
    <col collapsed="false" customWidth="true" hidden="false" outlineLevel="0" max="20" min="17" style="1" width="3.21"/>
    <col collapsed="false" customWidth="true" hidden="false" outlineLevel="0" max="21" min="21" style="1" width="1.42"/>
    <col collapsed="false" customWidth="true" hidden="false" outlineLevel="0" max="25" min="22" style="1" width="3.21"/>
    <col collapsed="false" customWidth="true" hidden="false" outlineLevel="0" max="26" min="26" style="1" width="11.81"/>
    <col collapsed="false" customWidth="true" hidden="false" outlineLevel="0" max="28" min="27" style="1" width="9.47"/>
    <col collapsed="false" customWidth="true" hidden="false" outlineLevel="0" max="29" min="29" style="2" width="50.05"/>
    <col collapsed="false" customWidth="true" hidden="false" outlineLevel="0" max="50" min="30" style="1" width="9.47"/>
    <col collapsed="false" customWidth="false" hidden="false" outlineLevel="0" max="16384" min="51" style="1" width="11.53"/>
  </cols>
  <sheetData>
    <row r="1" customFormat="false" ht="18.65" hidden="false" customHeight="true" outlineLevel="0" collapsed="false">
      <c r="B1" s="1" t="s">
        <v>0</v>
      </c>
      <c r="C1" s="1" t="n">
        <v>5720</v>
      </c>
    </row>
    <row r="2" customFormat="false" ht="12.8" hidden="false" customHeight="false" outlineLevel="0" collapsed="false">
      <c r="B2" s="1" t="s">
        <v>1</v>
      </c>
      <c r="C2" s="1" t="n">
        <v>22093</v>
      </c>
      <c r="G2" s="1" t="n">
        <v>15</v>
      </c>
      <c r="H2" s="1" t="n">
        <v>14</v>
      </c>
      <c r="I2" s="1" t="n">
        <v>13</v>
      </c>
      <c r="J2" s="1" t="n">
        <v>12</v>
      </c>
      <c r="L2" s="1" t="n">
        <v>11</v>
      </c>
      <c r="M2" s="1" t="n">
        <v>10</v>
      </c>
      <c r="N2" s="1" t="n">
        <v>9</v>
      </c>
      <c r="O2" s="1" t="n">
        <v>8</v>
      </c>
      <c r="Q2" s="1" t="n">
        <v>7</v>
      </c>
      <c r="R2" s="1" t="n">
        <v>6</v>
      </c>
      <c r="S2" s="1" t="n">
        <v>5</v>
      </c>
      <c r="T2" s="1" t="n">
        <v>4</v>
      </c>
      <c r="V2" s="1" t="n">
        <v>3</v>
      </c>
      <c r="W2" s="1" t="n">
        <v>2</v>
      </c>
      <c r="X2" s="1" t="n">
        <v>1</v>
      </c>
      <c r="Y2" s="1" t="n">
        <v>0</v>
      </c>
    </row>
    <row r="4" customFormat="false" ht="12.8" hidden="false" customHeight="false" outlineLevel="0" collapsed="false">
      <c r="A4" s="1" t="s">
        <v>2</v>
      </c>
      <c r="B4" s="1" t="s">
        <v>0</v>
      </c>
      <c r="C4" s="1" t="n">
        <f aca="false">C1</f>
        <v>5720</v>
      </c>
      <c r="E4" s="1" t="s">
        <v>3</v>
      </c>
      <c r="G4" s="1" t="n">
        <f aca="false">MOD(INT(MOD($C$4,65536) / POWER(2, G2)),2)</f>
        <v>0</v>
      </c>
      <c r="H4" s="1" t="n">
        <f aca="false">MOD(INT(MOD($C$4,65536) / POWER(2, H2)),2)</f>
        <v>0</v>
      </c>
      <c r="I4" s="1" t="n">
        <f aca="false">MOD(INT(MOD($C$4,65536) / POWER(2, I2)),2)</f>
        <v>0</v>
      </c>
      <c r="J4" s="1" t="n">
        <f aca="false">MOD(INT(MOD($C$4,65536) / POWER(2, J2)),2)</f>
        <v>1</v>
      </c>
      <c r="K4" s="1" t="s">
        <v>4</v>
      </c>
      <c r="L4" s="1" t="n">
        <f aca="false">MOD(INT(MOD($C$4,65536) / POWER(2, L2)),2)</f>
        <v>0</v>
      </c>
      <c r="M4" s="1" t="n">
        <f aca="false">MOD(INT(MOD($C$4,65536) / POWER(2, M2)),2)</f>
        <v>1</v>
      </c>
      <c r="N4" s="1" t="n">
        <f aca="false">MOD(INT(MOD($C$4,65536) / POWER(2, N2)),2)</f>
        <v>1</v>
      </c>
      <c r="O4" s="1" t="n">
        <f aca="false">MOD(INT(MOD($C$4,65536) / POWER(2, O2)),2)</f>
        <v>0</v>
      </c>
      <c r="P4" s="1" t="s">
        <v>4</v>
      </c>
      <c r="Q4" s="1" t="n">
        <f aca="false">MOD(INT(MOD($C$4,65536) / POWER(2, Q2)),2)</f>
        <v>0</v>
      </c>
      <c r="R4" s="1" t="n">
        <f aca="false">MOD(INT(MOD($C$4,65536) / POWER(2, R2)),2)</f>
        <v>1</v>
      </c>
      <c r="S4" s="1" t="n">
        <f aca="false">MOD(INT(MOD($C$4,65536) / POWER(2, S2)),2)</f>
        <v>0</v>
      </c>
      <c r="T4" s="1" t="n">
        <f aca="false">MOD(INT(MOD($C$4,65536) / POWER(2, T2)),2)</f>
        <v>1</v>
      </c>
      <c r="U4" s="1" t="s">
        <v>4</v>
      </c>
      <c r="V4" s="1" t="n">
        <f aca="false">MOD(INT(MOD($C$4,65536) / POWER(2, V2)),2)</f>
        <v>1</v>
      </c>
      <c r="W4" s="1" t="n">
        <f aca="false">MOD(INT(MOD($C$4,65536) / POWER(2, W2)),2)</f>
        <v>0</v>
      </c>
      <c r="X4" s="1" t="n">
        <f aca="false">MOD(INT(MOD($C$4,65536) / POWER(2, X2)),2)</f>
        <v>0</v>
      </c>
      <c r="Y4" s="1" t="n">
        <f aca="false">MOD(INT(MOD($C$4,65536) / POWER(2, Y2)),2)</f>
        <v>0</v>
      </c>
      <c r="AE4" s="1" t="n">
        <f aca="false">MOD(INT(MOD($C$4,65536) / POWER(2, AE2)),2)</f>
        <v>0</v>
      </c>
    </row>
    <row r="5" customFormat="false" ht="12.8" hidden="false" customHeight="false" outlineLevel="0" collapsed="false">
      <c r="A5" s="1" t="s">
        <v>5</v>
      </c>
      <c r="B5" s="1" t="s">
        <v>1</v>
      </c>
      <c r="C5" s="1" t="n">
        <f aca="false">C2</f>
        <v>22093</v>
      </c>
      <c r="E5" s="1" t="s">
        <v>6</v>
      </c>
      <c r="G5" s="1" t="n">
        <f aca="false">MOD(INT(MOD($C$5,65536) / POWER(2, G2)),2)</f>
        <v>0</v>
      </c>
      <c r="H5" s="1" t="n">
        <f aca="false">MOD(INT(MOD($C$5,65536) / POWER(2, H2)),2)</f>
        <v>1</v>
      </c>
      <c r="I5" s="1" t="n">
        <f aca="false">MOD(INT(MOD($C$5,65536) / POWER(2, I2)),2)</f>
        <v>0</v>
      </c>
      <c r="J5" s="1" t="n">
        <f aca="false">MOD(INT(MOD($C$5,65536) / POWER(2, J2)),2)</f>
        <v>1</v>
      </c>
      <c r="K5" s="1" t="s">
        <v>4</v>
      </c>
      <c r="L5" s="1" t="n">
        <f aca="false">MOD(INT(MOD($C$5,65536) / POWER(2, L2)),2)</f>
        <v>0</v>
      </c>
      <c r="M5" s="1" t="n">
        <f aca="false">MOD(INT(MOD($C$5,65536) / POWER(2, M2)),2)</f>
        <v>1</v>
      </c>
      <c r="N5" s="1" t="n">
        <f aca="false">MOD(INT(MOD($C$5,65536) / POWER(2, N2)),2)</f>
        <v>1</v>
      </c>
      <c r="O5" s="1" t="n">
        <f aca="false">MOD(INT(MOD($C$5,65536) / POWER(2, O2)),2)</f>
        <v>0</v>
      </c>
      <c r="P5" s="1" t="s">
        <v>4</v>
      </c>
      <c r="Q5" s="1" t="n">
        <f aca="false">MOD(INT(MOD($C$5,65536) / POWER(2, Q2)),2)</f>
        <v>0</v>
      </c>
      <c r="R5" s="1" t="n">
        <f aca="false">MOD(INT(MOD($C$5,65536) / POWER(2, R2)),2)</f>
        <v>1</v>
      </c>
      <c r="S5" s="1" t="n">
        <f aca="false">MOD(INT(MOD($C$5,65536) / POWER(2, S2)),2)</f>
        <v>0</v>
      </c>
      <c r="T5" s="1" t="n">
        <f aca="false">MOD(INT(MOD($C$5,65536) / POWER(2, T2)),2)</f>
        <v>0</v>
      </c>
      <c r="U5" s="1" t="s">
        <v>4</v>
      </c>
      <c r="V5" s="1" t="n">
        <f aca="false">MOD(INT(MOD($C$5,65536) / POWER(2, V2)),2)</f>
        <v>1</v>
      </c>
      <c r="W5" s="1" t="n">
        <f aca="false">MOD(INT(MOD($C$5,65536) / POWER(2, W2)),2)</f>
        <v>1</v>
      </c>
      <c r="X5" s="1" t="n">
        <f aca="false">MOD(INT(MOD($C$5,65536) / POWER(2, X2)),2)</f>
        <v>0</v>
      </c>
      <c r="Y5" s="1" t="n">
        <f aca="false">MOD(INT(MOD($C$5,65536) / POWER(2, Y2)),2)</f>
        <v>1</v>
      </c>
    </row>
    <row r="6" customFormat="false" ht="12.8" hidden="false" customHeight="false" outlineLevel="0" collapsed="false">
      <c r="A6" s="1" t="s">
        <v>7</v>
      </c>
      <c r="B6" s="1" t="s">
        <v>8</v>
      </c>
      <c r="C6" s="1" t="n">
        <f aca="false">C1+C2</f>
        <v>27813</v>
      </c>
      <c r="E6" s="1" t="s">
        <v>9</v>
      </c>
      <c r="G6" s="1" t="n">
        <f aca="false">MOD(INT(MOD($C$6,65536) / POWER(2, G2)),2)</f>
        <v>0</v>
      </c>
      <c r="H6" s="1" t="n">
        <f aca="false">MOD(INT(MOD($C$6,65536) / POWER(2, H2)),2)</f>
        <v>1</v>
      </c>
      <c r="I6" s="1" t="n">
        <f aca="false">MOD(INT(MOD($C$6,65536) / POWER(2, I2)),2)</f>
        <v>1</v>
      </c>
      <c r="J6" s="1" t="n">
        <f aca="false">MOD(INT(MOD($C$6,65536) / POWER(2, J2)),2)</f>
        <v>0</v>
      </c>
      <c r="K6" s="1" t="s">
        <v>4</v>
      </c>
      <c r="L6" s="1" t="n">
        <f aca="false">MOD(INT(MOD($C$6,65536) / POWER(2, L2)),2)</f>
        <v>1</v>
      </c>
      <c r="M6" s="1" t="n">
        <f aca="false">MOD(INT(MOD($C$6,65536) / POWER(2, M2)),2)</f>
        <v>1</v>
      </c>
      <c r="N6" s="1" t="n">
        <f aca="false">MOD(INT(MOD($C$6,65536) / POWER(2, N2)),2)</f>
        <v>0</v>
      </c>
      <c r="O6" s="1" t="n">
        <f aca="false">MOD(INT(MOD($C$6,65536) / POWER(2, O2)),2)</f>
        <v>0</v>
      </c>
      <c r="P6" s="1" t="s">
        <v>4</v>
      </c>
      <c r="Q6" s="1" t="n">
        <f aca="false">MOD(INT(MOD($C$6,65536) / POWER(2, Q2)),2)</f>
        <v>1</v>
      </c>
      <c r="R6" s="1" t="n">
        <f aca="false">MOD(INT(MOD($C$6,65536) / POWER(2, R2)),2)</f>
        <v>0</v>
      </c>
      <c r="S6" s="1" t="n">
        <f aca="false">MOD(INT(MOD($C$6,65536) / POWER(2, S2)),2)</f>
        <v>1</v>
      </c>
      <c r="T6" s="1" t="n">
        <f aca="false">MOD(INT(MOD($C$6,65536) / POWER(2, T2)),2)</f>
        <v>0</v>
      </c>
      <c r="U6" s="1" t="s">
        <v>4</v>
      </c>
      <c r="V6" s="1" t="n">
        <f aca="false">MOD(INT(MOD($C$6,65536) / POWER(2, V2)),2)</f>
        <v>0</v>
      </c>
      <c r="W6" s="1" t="n">
        <f aca="false">MOD(INT(MOD($C$6,65536) / POWER(2, W2)),2)</f>
        <v>1</v>
      </c>
      <c r="X6" s="1" t="n">
        <f aca="false">MOD(INT(MOD($C$6,65536) / POWER(2, X2)),2)</f>
        <v>0</v>
      </c>
      <c r="Y6" s="1" t="n">
        <f aca="false">MOD(INT(MOD($C$6,65536) / POWER(2, Y2)),2)</f>
        <v>1</v>
      </c>
    </row>
    <row r="7" customFormat="false" ht="12.8" hidden="false" customHeight="false" outlineLevel="0" collapsed="false">
      <c r="A7" s="1" t="s">
        <v>10</v>
      </c>
      <c r="B7" s="1" t="s">
        <v>11</v>
      </c>
      <c r="C7" s="1" t="n">
        <f aca="false">C1+2*C2</f>
        <v>49906</v>
      </c>
      <c r="E7" s="1" t="s">
        <v>12</v>
      </c>
      <c r="G7" s="1" t="n">
        <f aca="false">MOD(INT(MOD($C$7,65536) / POWER(2, G2)),2)</f>
        <v>1</v>
      </c>
      <c r="H7" s="1" t="n">
        <f aca="false">MOD(INT(MOD($C$7,65536) / POWER(2, H2)),2)</f>
        <v>1</v>
      </c>
      <c r="I7" s="1" t="n">
        <f aca="false">MOD(INT(MOD($C$7,65536) / POWER(2, I2)),2)</f>
        <v>0</v>
      </c>
      <c r="J7" s="1" t="n">
        <f aca="false">MOD(INT(MOD($C$7,65536) / POWER(2, J2)),2)</f>
        <v>0</v>
      </c>
      <c r="K7" s="1" t="s">
        <v>4</v>
      </c>
      <c r="L7" s="1" t="n">
        <f aca="false">MOD(INT(MOD($C$7,65536) / POWER(2, L2)),2)</f>
        <v>0</v>
      </c>
      <c r="M7" s="1" t="n">
        <f aca="false">MOD(INT(MOD($C$7,65536) / POWER(2, M2)),2)</f>
        <v>0</v>
      </c>
      <c r="N7" s="1" t="n">
        <f aca="false">MOD(INT(MOD($C$7,65536) / POWER(2, N2)),2)</f>
        <v>1</v>
      </c>
      <c r="O7" s="1" t="n">
        <f aca="false">MOD(INT(MOD($C$7,65536) / POWER(2, O2)),2)</f>
        <v>0</v>
      </c>
      <c r="P7" s="1" t="s">
        <v>4</v>
      </c>
      <c r="Q7" s="1" t="n">
        <f aca="false">MOD(INT(MOD($C$7,65536) / POWER(2, Q2)),2)</f>
        <v>1</v>
      </c>
      <c r="R7" s="1" t="n">
        <f aca="false">MOD(INT(MOD($C$7,65536) / POWER(2, R2)),2)</f>
        <v>1</v>
      </c>
      <c r="S7" s="1" t="n">
        <f aca="false">MOD(INT(MOD($C$7,65536) / POWER(2, S2)),2)</f>
        <v>1</v>
      </c>
      <c r="T7" s="1" t="n">
        <f aca="false">MOD(INT(MOD($C$7,65536) / POWER(2, T2)),2)</f>
        <v>1</v>
      </c>
      <c r="U7" s="1" t="s">
        <v>4</v>
      </c>
      <c r="V7" s="1" t="n">
        <f aca="false">MOD(INT(MOD($C$7,65536) / POWER(2, V2)),2)</f>
        <v>0</v>
      </c>
      <c r="W7" s="1" t="n">
        <f aca="false">MOD(INT(MOD($C$7,65536) / POWER(2, W2)),2)</f>
        <v>0</v>
      </c>
      <c r="X7" s="1" t="n">
        <f aca="false">MOD(INT(MOD($C$7,65536) / POWER(2, X2)),2)</f>
        <v>1</v>
      </c>
      <c r="Y7" s="1" t="n">
        <f aca="false">MOD(INT(MOD($C$7,65536) / POWER(2, Y2)),2)</f>
        <v>0</v>
      </c>
    </row>
    <row r="8" customFormat="false" ht="12.8" hidden="false" customHeight="false" outlineLevel="0" collapsed="false">
      <c r="A8" s="1" t="s">
        <v>13</v>
      </c>
      <c r="B8" s="1" t="s">
        <v>14</v>
      </c>
      <c r="C8" s="1" t="n">
        <f aca="false">C2-C1</f>
        <v>16373</v>
      </c>
      <c r="E8" s="1" t="s">
        <v>15</v>
      </c>
      <c r="G8" s="1" t="n">
        <f aca="false">MOD(INT(MOD($C$8,65536) / POWER(2, G2)),2)</f>
        <v>0</v>
      </c>
      <c r="H8" s="1" t="n">
        <f aca="false">MOD(INT(MOD($C$8,65536) / POWER(2, H2)),2)</f>
        <v>0</v>
      </c>
      <c r="I8" s="1" t="n">
        <f aca="false">MOD(INT(MOD($C$8,65536) / POWER(2, I2)),2)</f>
        <v>1</v>
      </c>
      <c r="J8" s="1" t="n">
        <f aca="false">MOD(INT(MOD($C$8,65536) / POWER(2, J2)),2)</f>
        <v>1</v>
      </c>
      <c r="K8" s="1" t="s">
        <v>4</v>
      </c>
      <c r="L8" s="1" t="n">
        <f aca="false">MOD(INT(MOD($C$8,65536) / POWER(2, L2)),2)</f>
        <v>1</v>
      </c>
      <c r="M8" s="1" t="n">
        <f aca="false">MOD(INT(MOD($C$8,65536) / POWER(2, M2)),2)</f>
        <v>1</v>
      </c>
      <c r="N8" s="1" t="n">
        <f aca="false">MOD(INT(MOD($C$8,65536) / POWER(2, N2)),2)</f>
        <v>1</v>
      </c>
      <c r="O8" s="1" t="n">
        <f aca="false">MOD(INT(MOD($C$8,65536) / POWER(2, O2)),2)</f>
        <v>1</v>
      </c>
      <c r="P8" s="1" t="s">
        <v>4</v>
      </c>
      <c r="Q8" s="1" t="n">
        <f aca="false">MOD(INT(MOD($C$8,65536) / POWER(2, Q2)),2)</f>
        <v>1</v>
      </c>
      <c r="R8" s="1" t="n">
        <f aca="false">MOD(INT(MOD($C$8,65536) / POWER(2, R2)),2)</f>
        <v>1</v>
      </c>
      <c r="S8" s="1" t="n">
        <f aca="false">MOD(INT(MOD($C$8,65536) / POWER(2, S2)),2)</f>
        <v>1</v>
      </c>
      <c r="T8" s="1" t="n">
        <f aca="false">MOD(INT(MOD($C$8,65536) / POWER(2, T2)),2)</f>
        <v>1</v>
      </c>
      <c r="U8" s="1" t="s">
        <v>4</v>
      </c>
      <c r="V8" s="1" t="n">
        <f aca="false">MOD(INT(MOD($C$8,65536) / POWER(2, V2)),2)</f>
        <v>0</v>
      </c>
      <c r="W8" s="1" t="n">
        <f aca="false">MOD(INT(MOD($C$8,65536) / POWER(2, W2)),2)</f>
        <v>1</v>
      </c>
      <c r="X8" s="1" t="n">
        <f aca="false">MOD(INT(MOD($C$8,65536) / POWER(2, X2)),2)</f>
        <v>0</v>
      </c>
      <c r="Y8" s="1" t="n">
        <f aca="false">MOD(INT(MOD($C$8,65536) / POWER(2, Y2)),2)</f>
        <v>1</v>
      </c>
    </row>
    <row r="9" customFormat="false" ht="12.8" hidden="false" customHeight="false" outlineLevel="0" collapsed="false">
      <c r="A9" s="1" t="s">
        <v>16</v>
      </c>
      <c r="B9" s="1" t="s">
        <v>17</v>
      </c>
      <c r="C9" s="1" t="n">
        <f aca="false">65536-C7</f>
        <v>15630</v>
      </c>
      <c r="E9" s="1" t="s">
        <v>18</v>
      </c>
      <c r="G9" s="1" t="n">
        <f aca="false">MOD(INT(MOD($C$9,65536) / POWER(2, G2)),2)</f>
        <v>0</v>
      </c>
      <c r="H9" s="1" t="n">
        <f aca="false">MOD(INT(MOD($C$9,65536) / POWER(2, H2)),2)</f>
        <v>0</v>
      </c>
      <c r="I9" s="1" t="n">
        <f aca="false">MOD(INT(MOD($C$9,65536) / POWER(2, I2)),2)</f>
        <v>1</v>
      </c>
      <c r="J9" s="1" t="n">
        <f aca="false">MOD(INT(MOD($C$9,65536) / POWER(2, J2)),2)</f>
        <v>1</v>
      </c>
      <c r="K9" s="1" t="s">
        <v>4</v>
      </c>
      <c r="L9" s="1" t="n">
        <f aca="false">MOD(INT(MOD($C$9,65536) / POWER(2, L2)),2)</f>
        <v>1</v>
      </c>
      <c r="M9" s="1" t="n">
        <f aca="false">MOD(INT(MOD($C$9,65536) / POWER(2, M2)),2)</f>
        <v>1</v>
      </c>
      <c r="N9" s="1" t="n">
        <f aca="false">MOD(INT(MOD($C$9,65536) / POWER(2, N2)),2)</f>
        <v>0</v>
      </c>
      <c r="O9" s="1" t="n">
        <f aca="false">MOD(INT(MOD($C$9,65536) / POWER(2, O2)),2)</f>
        <v>1</v>
      </c>
      <c r="P9" s="1" t="s">
        <v>4</v>
      </c>
      <c r="Q9" s="1" t="n">
        <f aca="false">MOD(INT(MOD($C$9,65536) / POWER(2, Q2)),2)</f>
        <v>0</v>
      </c>
      <c r="R9" s="1" t="n">
        <f aca="false">MOD(INT(MOD($C$9,65536) / POWER(2, R2)),2)</f>
        <v>0</v>
      </c>
      <c r="S9" s="1" t="n">
        <f aca="false">MOD(INT(MOD($C$9,65536) / POWER(2, S2)),2)</f>
        <v>0</v>
      </c>
      <c r="T9" s="1" t="n">
        <f aca="false">MOD(INT(MOD($C$9,65536) / POWER(2, T2)),2)</f>
        <v>0</v>
      </c>
      <c r="U9" s="1" t="s">
        <v>4</v>
      </c>
      <c r="V9" s="1" t="n">
        <f aca="false">MOD(INT(MOD($C$9,65536) / POWER(2, V2)),2)</f>
        <v>1</v>
      </c>
      <c r="W9" s="1" t="n">
        <f aca="false">MOD(INT(MOD($C$9,65536) / POWER(2, W2)),2)</f>
        <v>1</v>
      </c>
      <c r="X9" s="1" t="n">
        <f aca="false">MOD(INT(MOD($C$9,65536) / POWER(2, X2)),2)</f>
        <v>1</v>
      </c>
      <c r="Y9" s="1" t="n">
        <f aca="false">MOD(INT(MOD($C$9,65536) / POWER(2, Y2)),2)</f>
        <v>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n">
        <f aca="false">-C4</f>
        <v>-5720</v>
      </c>
      <c r="E10" s="1" t="s">
        <v>21</v>
      </c>
      <c r="G10" s="1" t="n">
        <f aca="false">MOD(INT(MOD($C$10,65536) / POWER(2, G2)),2)</f>
        <v>1</v>
      </c>
      <c r="H10" s="1" t="n">
        <f aca="false">MOD(INT(MOD($C$10,65536) / POWER(2, H2)),2)</f>
        <v>1</v>
      </c>
      <c r="I10" s="1" t="n">
        <f aca="false">MOD(INT(MOD($C$10,65536) / POWER(2, I2)),2)</f>
        <v>1</v>
      </c>
      <c r="J10" s="1" t="n">
        <f aca="false">MOD(INT(MOD($C$10,65536) / POWER(2, J2)),2)</f>
        <v>0</v>
      </c>
      <c r="K10" s="1" t="s">
        <v>4</v>
      </c>
      <c r="L10" s="1" t="n">
        <f aca="false">MOD(INT(MOD($C$10,65536) / POWER(2, L2)),2)</f>
        <v>1</v>
      </c>
      <c r="M10" s="1" t="n">
        <f aca="false">MOD(INT(MOD($C$10,65536) / POWER(2, M2)),2)</f>
        <v>0</v>
      </c>
      <c r="N10" s="1" t="n">
        <f aca="false">MOD(INT(MOD($C$10,65536) / POWER(2, N2)),2)</f>
        <v>0</v>
      </c>
      <c r="O10" s="1" t="n">
        <f aca="false">MOD(INT(MOD($C$10,65536) / POWER(2, O2)),2)</f>
        <v>1</v>
      </c>
      <c r="P10" s="1" t="s">
        <v>4</v>
      </c>
      <c r="Q10" s="1" t="n">
        <f aca="false">MOD(INT(MOD($C$10,65536) / POWER(2, Q2)),2)</f>
        <v>1</v>
      </c>
      <c r="R10" s="1" t="n">
        <f aca="false">MOD(INT(MOD($C$10,65536) / POWER(2, R2)),2)</f>
        <v>0</v>
      </c>
      <c r="S10" s="1" t="n">
        <f aca="false">MOD(INT(MOD($C$10,65536) / POWER(2, S2)),2)</f>
        <v>1</v>
      </c>
      <c r="T10" s="1" t="n">
        <f aca="false">MOD(INT(MOD($C$10,65536) / POWER(2, T2)),2)</f>
        <v>0</v>
      </c>
      <c r="U10" s="1" t="s">
        <v>4</v>
      </c>
      <c r="V10" s="1" t="n">
        <f aca="false">MOD(INT(MOD($C$10,65536) / POWER(2, V2)),2)</f>
        <v>1</v>
      </c>
      <c r="W10" s="1" t="n">
        <f aca="false">MOD(INT(MOD($C$10,65536) / POWER(2, W2)),2)</f>
        <v>0</v>
      </c>
      <c r="X10" s="1" t="n">
        <f aca="false">MOD(INT(MOD($C$10,65536) / POWER(2, X2)),2)</f>
        <v>0</v>
      </c>
      <c r="Y10" s="1" t="n">
        <f aca="false">MOD(INT(MOD($C$10,65536) / POWER(2, Y2)),2)</f>
        <v>0</v>
      </c>
    </row>
    <row r="11" customFormat="false" ht="12.8" hidden="false" customHeight="false" outlineLevel="0" collapsed="false">
      <c r="A11" s="1" t="s">
        <v>22</v>
      </c>
      <c r="B11" s="1" t="s">
        <v>23</v>
      </c>
      <c r="C11" s="1" t="n">
        <f aca="false">-C5</f>
        <v>-22093</v>
      </c>
      <c r="E11" s="1" t="s">
        <v>24</v>
      </c>
      <c r="G11" s="1" t="n">
        <f aca="false">MOD(INT(MOD($C$11,65536) / POWER(2, G2)),2)</f>
        <v>1</v>
      </c>
      <c r="H11" s="1" t="n">
        <f aca="false">MOD(INT(MOD($C$11,65536) / POWER(2, H2)),2)</f>
        <v>0</v>
      </c>
      <c r="I11" s="1" t="n">
        <f aca="false">MOD(INT(MOD($C$11,65536) / POWER(2, I2)),2)</f>
        <v>1</v>
      </c>
      <c r="J11" s="1" t="n">
        <f aca="false">MOD(INT(MOD($C$11,65536) / POWER(2, J2)),2)</f>
        <v>0</v>
      </c>
      <c r="K11" s="1" t="s">
        <v>4</v>
      </c>
      <c r="L11" s="1" t="n">
        <f aca="false">MOD(INT(MOD($C$11,65536) / POWER(2, L2)),2)</f>
        <v>1</v>
      </c>
      <c r="M11" s="1" t="n">
        <f aca="false">MOD(INT(MOD($C$11,65536) / POWER(2, M2)),2)</f>
        <v>0</v>
      </c>
      <c r="N11" s="1" t="n">
        <f aca="false">MOD(INT(MOD($C$11,65536) / POWER(2, N2)),2)</f>
        <v>0</v>
      </c>
      <c r="O11" s="1" t="n">
        <f aca="false">MOD(INT(MOD($C$11,65536) / POWER(2, O2)),2)</f>
        <v>1</v>
      </c>
      <c r="P11" s="1" t="s">
        <v>4</v>
      </c>
      <c r="Q11" s="1" t="n">
        <f aca="false">MOD(INT(MOD($C$11,65536) / POWER(2, Q2)),2)</f>
        <v>1</v>
      </c>
      <c r="R11" s="1" t="n">
        <f aca="false">MOD(INT(MOD($C$11,65536) / POWER(2, R2)),2)</f>
        <v>0</v>
      </c>
      <c r="S11" s="1" t="n">
        <f aca="false">MOD(INT(MOD($C$11,65536) / POWER(2, S2)),2)</f>
        <v>1</v>
      </c>
      <c r="T11" s="1" t="n">
        <f aca="false">MOD(INT(MOD($C$11,65536) / POWER(2, T2)),2)</f>
        <v>1</v>
      </c>
      <c r="U11" s="1" t="s">
        <v>4</v>
      </c>
      <c r="V11" s="1" t="n">
        <f aca="false">MOD(INT(MOD($C$11,65536) / POWER(2, V2)),2)</f>
        <v>0</v>
      </c>
      <c r="W11" s="1" t="n">
        <f aca="false">MOD(INT(MOD($C$11,65536) / POWER(2, W2)),2)</f>
        <v>0</v>
      </c>
      <c r="X11" s="1" t="n">
        <f aca="false">MOD(INT(MOD($C$11,65536) / POWER(2, X2)),2)</f>
        <v>1</v>
      </c>
      <c r="Y11" s="1" t="n">
        <f aca="false">MOD(INT(MOD($C$11,65536) / POWER(2, Y2)),2)</f>
        <v>1</v>
      </c>
    </row>
    <row r="12" customFormat="false" ht="12.8" hidden="false" customHeight="false" outlineLevel="0" collapsed="false">
      <c r="A12" s="1" t="s">
        <v>25</v>
      </c>
      <c r="B12" s="1" t="s">
        <v>26</v>
      </c>
      <c r="C12" s="1" t="n">
        <f aca="false">-C6</f>
        <v>-27813</v>
      </c>
      <c r="E12" s="1" t="s">
        <v>27</v>
      </c>
      <c r="G12" s="1" t="n">
        <f aca="false">MOD(INT(MOD($C$12,65536) / POWER(2, G2)),2)</f>
        <v>1</v>
      </c>
      <c r="H12" s="1" t="n">
        <f aca="false">MOD(INT(MOD($C$12,65536) / POWER(2, H2)),2)</f>
        <v>0</v>
      </c>
      <c r="I12" s="1" t="n">
        <f aca="false">MOD(INT(MOD($C$12,65536) / POWER(2, I2)),2)</f>
        <v>0</v>
      </c>
      <c r="J12" s="1" t="n">
        <f aca="false">MOD(INT(MOD($C$12,65536) / POWER(2, J2)),2)</f>
        <v>1</v>
      </c>
      <c r="K12" s="1" t="s">
        <v>4</v>
      </c>
      <c r="L12" s="1" t="n">
        <f aca="false">MOD(INT(MOD($C$12,65536) / POWER(2, L2)),2)</f>
        <v>0</v>
      </c>
      <c r="M12" s="1" t="n">
        <f aca="false">MOD(INT(MOD($C$12,65536) / POWER(2, M2)),2)</f>
        <v>0</v>
      </c>
      <c r="N12" s="1" t="n">
        <f aca="false">MOD(INT(MOD($C$12,65536) / POWER(2, N2)),2)</f>
        <v>1</v>
      </c>
      <c r="O12" s="1" t="n">
        <f aca="false">MOD(INT(MOD($C$12,65536) / POWER(2, O2)),2)</f>
        <v>1</v>
      </c>
      <c r="P12" s="1" t="s">
        <v>4</v>
      </c>
      <c r="Q12" s="1" t="n">
        <f aca="false">MOD(INT(MOD($C$12,65536) / POWER(2, Q2)),2)</f>
        <v>0</v>
      </c>
      <c r="R12" s="1" t="n">
        <f aca="false">MOD(INT(MOD($C$12,65536) / POWER(2, R2)),2)</f>
        <v>1</v>
      </c>
      <c r="S12" s="1" t="n">
        <f aca="false">MOD(INT(MOD($C$12,65536) / POWER(2, S2)),2)</f>
        <v>0</v>
      </c>
      <c r="T12" s="1" t="n">
        <f aca="false">MOD(INT(MOD($C$12,65536) / POWER(2, T2)),2)</f>
        <v>1</v>
      </c>
      <c r="U12" s="1" t="s">
        <v>4</v>
      </c>
      <c r="V12" s="1" t="n">
        <f aca="false">MOD(INT(MOD($C$12,65536) / POWER(2, V2)),2)</f>
        <v>1</v>
      </c>
      <c r="W12" s="1" t="n">
        <f aca="false">MOD(INT(MOD($C$12,65536) / POWER(2, W2)),2)</f>
        <v>0</v>
      </c>
      <c r="X12" s="1" t="n">
        <f aca="false">MOD(INT(MOD($C$12,65536) / POWER(2, X2)),2)</f>
        <v>1</v>
      </c>
      <c r="Y12" s="1" t="n">
        <f aca="false">MOD(INT(MOD($C$12,65536) / POWER(2, Y2)),2)</f>
        <v>1</v>
      </c>
    </row>
    <row r="13" customFormat="false" ht="12.8" hidden="false" customHeight="false" outlineLevel="0" collapsed="false">
      <c r="A13" s="1" t="s">
        <v>28</v>
      </c>
      <c r="B13" s="1" t="s">
        <v>29</v>
      </c>
      <c r="C13" s="1" t="n">
        <f aca="false">-C7</f>
        <v>-49906</v>
      </c>
      <c r="E13" s="1" t="s">
        <v>30</v>
      </c>
      <c r="G13" s="1" t="n">
        <f aca="false">MOD(INT(MOD($C$13,65536) / POWER(2, G2)),2)</f>
        <v>0</v>
      </c>
      <c r="H13" s="1" t="n">
        <f aca="false">MOD(INT(MOD($C$13,65536) / POWER(2, H2)),2)</f>
        <v>0</v>
      </c>
      <c r="I13" s="1" t="n">
        <f aca="false">MOD(INT(MOD($C$13,65536) / POWER(2, I2)),2)</f>
        <v>1</v>
      </c>
      <c r="J13" s="1" t="n">
        <f aca="false">MOD(INT(MOD($C$13,65536) / POWER(2, J2)),2)</f>
        <v>1</v>
      </c>
      <c r="K13" s="1" t="s">
        <v>4</v>
      </c>
      <c r="L13" s="1" t="n">
        <f aca="false">MOD(INT(MOD($C$13,65536) / POWER(2, L2)),2)</f>
        <v>1</v>
      </c>
      <c r="M13" s="1" t="n">
        <f aca="false">MOD(INT(MOD($C$13,65536) / POWER(2, M2)),2)</f>
        <v>1</v>
      </c>
      <c r="N13" s="1" t="n">
        <f aca="false">MOD(INT(MOD($C$13,65536) / POWER(2, N2)),2)</f>
        <v>0</v>
      </c>
      <c r="O13" s="1" t="n">
        <f aca="false">MOD(INT(MOD($C$13,65536) / POWER(2, O2)),2)</f>
        <v>1</v>
      </c>
      <c r="P13" s="1" t="s">
        <v>4</v>
      </c>
      <c r="Q13" s="1" t="n">
        <f aca="false">MOD(INT(MOD($C$13,65536) / POWER(2, Q2)),2)</f>
        <v>0</v>
      </c>
      <c r="R13" s="1" t="n">
        <f aca="false">MOD(INT(MOD($C$13,65536) / POWER(2, R2)),2)</f>
        <v>0</v>
      </c>
      <c r="S13" s="1" t="n">
        <f aca="false">MOD(INT(MOD($C$13,65536) / POWER(2, S2)),2)</f>
        <v>0</v>
      </c>
      <c r="T13" s="1" t="n">
        <f aca="false">MOD(INT(MOD($C$13,65536) / POWER(2, T2)),2)</f>
        <v>0</v>
      </c>
      <c r="U13" s="1" t="s">
        <v>4</v>
      </c>
      <c r="V13" s="1" t="n">
        <f aca="false">MOD(INT(MOD($C$13,65536) / POWER(2, V2)),2)</f>
        <v>1</v>
      </c>
      <c r="W13" s="1" t="n">
        <f aca="false">MOD(INT(MOD($C$13,65536) / POWER(2, W2)),2)</f>
        <v>1</v>
      </c>
      <c r="X13" s="1" t="n">
        <f aca="false">MOD(INT(MOD($C$13,65536) / POWER(2, X2)),2)</f>
        <v>1</v>
      </c>
      <c r="Y13" s="1" t="n">
        <f aca="false">MOD(INT(MOD($C$13,65536) / POWER(2, Y2)),2)</f>
        <v>0</v>
      </c>
    </row>
    <row r="14" customFormat="false" ht="12.8" hidden="false" customHeight="false" outlineLevel="0" collapsed="false">
      <c r="A14" s="1" t="s">
        <v>31</v>
      </c>
      <c r="B14" s="1" t="s">
        <v>32</v>
      </c>
      <c r="C14" s="1" t="n">
        <f aca="false">-C8</f>
        <v>-16373</v>
      </c>
      <c r="E14" s="1" t="s">
        <v>33</v>
      </c>
      <c r="G14" s="1" t="n">
        <f aca="false">MOD(INT(MOD($C$14,65536) / POWER(2, G2)),2)</f>
        <v>1</v>
      </c>
      <c r="H14" s="1" t="n">
        <f aca="false">MOD(INT(MOD($C$14,65536) / POWER(2, H2)),2)</f>
        <v>1</v>
      </c>
      <c r="I14" s="1" t="n">
        <f aca="false">MOD(INT(MOD($C$14,65536) / POWER(2, I2)),2)</f>
        <v>0</v>
      </c>
      <c r="J14" s="1" t="n">
        <f aca="false">MOD(INT(MOD($C$14,65536) / POWER(2, J2)),2)</f>
        <v>0</v>
      </c>
      <c r="K14" s="1" t="s">
        <v>4</v>
      </c>
      <c r="L14" s="1" t="n">
        <f aca="false">MOD(INT(MOD($C$14,65536) / POWER(2, L2)),2)</f>
        <v>0</v>
      </c>
      <c r="M14" s="1" t="n">
        <f aca="false">MOD(INT(MOD($C$14,65536) / POWER(2, M2)),2)</f>
        <v>0</v>
      </c>
      <c r="N14" s="1" t="n">
        <f aca="false">MOD(INT(MOD($C$14,65536) / POWER(2, N2)),2)</f>
        <v>0</v>
      </c>
      <c r="O14" s="1" t="n">
        <f aca="false">MOD(INT(MOD($C$14,65536) / POWER(2, O2)),2)</f>
        <v>0</v>
      </c>
      <c r="P14" s="1" t="s">
        <v>4</v>
      </c>
      <c r="Q14" s="1" t="n">
        <f aca="false">MOD(INT(MOD($C$14,65536) / POWER(2, Q2)),2)</f>
        <v>0</v>
      </c>
      <c r="R14" s="1" t="n">
        <f aca="false">MOD(INT(MOD($C$14,65536) / POWER(2, R2)),2)</f>
        <v>0</v>
      </c>
      <c r="S14" s="1" t="n">
        <f aca="false">MOD(INT(MOD($C$14,65536) / POWER(2, S2)),2)</f>
        <v>0</v>
      </c>
      <c r="T14" s="1" t="n">
        <f aca="false">MOD(INT(MOD($C$14,65536) / POWER(2, T2)),2)</f>
        <v>0</v>
      </c>
      <c r="U14" s="1" t="s">
        <v>4</v>
      </c>
      <c r="V14" s="1" t="n">
        <f aca="false">MOD(INT(MOD($C$14,65536) / POWER(2, V2)),2)</f>
        <v>1</v>
      </c>
      <c r="W14" s="1" t="n">
        <f aca="false">MOD(INT(MOD($C$14,65536) / POWER(2, W2)),2)</f>
        <v>0</v>
      </c>
      <c r="X14" s="1" t="n">
        <f aca="false">MOD(INT(MOD($C$14,65536) / POWER(2, X2)),2)</f>
        <v>1</v>
      </c>
      <c r="Y14" s="1" t="n">
        <f aca="false">MOD(INT(MOD($C$14,65536) / POWER(2, Y2)),2)</f>
        <v>1</v>
      </c>
    </row>
    <row r="15" customFormat="false" ht="12.8" hidden="false" customHeight="false" outlineLevel="0" collapsed="false">
      <c r="A15" s="1" t="s">
        <v>34</v>
      </c>
      <c r="B15" s="1" t="s">
        <v>35</v>
      </c>
      <c r="C15" s="1" t="n">
        <f aca="false">-C9</f>
        <v>-15630</v>
      </c>
      <c r="E15" s="1" t="s">
        <v>36</v>
      </c>
      <c r="G15" s="1" t="n">
        <f aca="false">MOD(INT(MOD($C$15,65536) / POWER(2, G2)),2)</f>
        <v>1</v>
      </c>
      <c r="H15" s="1" t="n">
        <f aca="false">MOD(INT(MOD($C$15,65536) / POWER(2, H2)),2)</f>
        <v>1</v>
      </c>
      <c r="I15" s="1" t="n">
        <f aca="false">MOD(INT(MOD($C$15,65536) / POWER(2, I2)),2)</f>
        <v>0</v>
      </c>
      <c r="J15" s="1" t="n">
        <f aca="false">MOD(INT(MOD($C$15,65536) / POWER(2, J2)),2)</f>
        <v>0</v>
      </c>
      <c r="K15" s="1" t="s">
        <v>4</v>
      </c>
      <c r="L15" s="1" t="n">
        <f aca="false">MOD(INT(MOD($C$15,65536) / POWER(2, L2)),2)</f>
        <v>0</v>
      </c>
      <c r="M15" s="1" t="n">
        <f aca="false">MOD(INT(MOD($C$15,65536) / POWER(2, M2)),2)</f>
        <v>0</v>
      </c>
      <c r="N15" s="1" t="n">
        <f aca="false">MOD(INT(MOD($C$15,65536) / POWER(2, N2)),2)</f>
        <v>1</v>
      </c>
      <c r="O15" s="1" t="n">
        <f aca="false">MOD(INT(MOD($C$15,65536) / POWER(2, O2)),2)</f>
        <v>0</v>
      </c>
      <c r="P15" s="1" t="s">
        <v>4</v>
      </c>
      <c r="Q15" s="1" t="n">
        <f aca="false">MOD(INT(MOD($C$15,65536) / POWER(2, Q2)),2)</f>
        <v>1</v>
      </c>
      <c r="R15" s="1" t="n">
        <f aca="false">MOD(INT(MOD($C$15,65536) / POWER(2, R2)),2)</f>
        <v>1</v>
      </c>
      <c r="S15" s="1" t="n">
        <f aca="false">MOD(INT(MOD($C$15,65536) / POWER(2, S2)),2)</f>
        <v>1</v>
      </c>
      <c r="T15" s="1" t="n">
        <f aca="false">MOD(INT(MOD($C$15,65536) / POWER(2, T2)),2)</f>
        <v>1</v>
      </c>
      <c r="U15" s="1" t="s">
        <v>4</v>
      </c>
      <c r="V15" s="1" t="n">
        <f aca="false">MOD(INT(MOD($C$15,65536) / POWER(2, V2)),2)</f>
        <v>0</v>
      </c>
      <c r="W15" s="1" t="n">
        <f aca="false">MOD(INT(MOD($C$15,65536) / POWER(2, W2)),2)</f>
        <v>0</v>
      </c>
      <c r="X15" s="1" t="n">
        <f aca="false">MOD(INT(MOD($C$15,65536) / POWER(2, X2)),2)</f>
        <v>1</v>
      </c>
      <c r="Y15" s="1" t="n">
        <f aca="false">MOD(INT(MOD($C$15,65536) / POWER(2, Y2)),2)</f>
        <v>0</v>
      </c>
    </row>
    <row r="22" customFormat="false" ht="12.8" hidden="false" customHeight="true" outlineLevel="0" collapsed="false">
      <c r="E22" s="1" t="s">
        <v>37</v>
      </c>
      <c r="F22" s="1" t="n">
        <f aca="false">IF(SUM(G22:G24)&gt;=2,1,0)</f>
        <v>0</v>
      </c>
      <c r="G22" s="1" t="n">
        <f aca="false">IF(SUM(H22:H24)&gt;=2,1,0)</f>
        <v>0</v>
      </c>
      <c r="H22" s="1" t="n">
        <f aca="false">IF(SUM(I22:I24)&gt;=2,1,0)</f>
        <v>0</v>
      </c>
      <c r="I22" s="1" t="n">
        <f aca="false">IF(SUM(J22:J24)&gt;=2,1,0)</f>
        <v>1</v>
      </c>
      <c r="J22" s="1" t="n">
        <f aca="false">IF(SUM(L22:L24)&gt;=2,1,0)</f>
        <v>0</v>
      </c>
      <c r="K22" s="1" t="s">
        <v>4</v>
      </c>
      <c r="L22" s="1" t="n">
        <f aca="false">IF(SUM(M22:M24)&gt;=2,1,0)</f>
        <v>1</v>
      </c>
      <c r="M22" s="1" t="n">
        <f aca="false">IF(SUM(N22:N24)&gt;=2,1,0)</f>
        <v>1</v>
      </c>
      <c r="N22" s="1" t="n">
        <f aca="false">IF(SUM(O22:O24)&gt;=2,1,0)</f>
        <v>0</v>
      </c>
      <c r="O22" s="1" t="n">
        <f aca="false">IF(SUM(Q22:Q24)&gt;=2,1,0)</f>
        <v>0</v>
      </c>
      <c r="P22" s="1" t="s">
        <v>4</v>
      </c>
      <c r="Q22" s="1" t="n">
        <f aca="false">IF(SUM(R22:R24)&gt;=2,1,0)</f>
        <v>1</v>
      </c>
      <c r="R22" s="1" t="n">
        <f aca="false">IF(SUM(S22:S24)&gt;=2,1,0)</f>
        <v>0</v>
      </c>
      <c r="S22" s="1" t="n">
        <f aca="false">IF(SUM(T22:T24)&gt;=2,1,0)</f>
        <v>1</v>
      </c>
      <c r="T22" s="1" t="n">
        <f aca="false">IF(SUM(V22:V24)&gt;=2,1,0)</f>
        <v>1</v>
      </c>
      <c r="U22" s="1" t="s">
        <v>4</v>
      </c>
      <c r="V22" s="1" t="n">
        <f aca="false">IF(SUM(W22:W24)&gt;=2,1,0)</f>
        <v>0</v>
      </c>
      <c r="W22" s="1" t="n">
        <f aca="false">IF(SUM(X22:X24)&gt;=2,1,0)</f>
        <v>0</v>
      </c>
      <c r="X22" s="1" t="n">
        <f aca="false">IF(SUM(Y22:Y24)&gt;=2,1,0)</f>
        <v>0</v>
      </c>
    </row>
    <row r="23" customFormat="false" ht="12.8" hidden="false" customHeight="true" outlineLevel="0" collapsed="false">
      <c r="E23" s="1" t="s">
        <v>38</v>
      </c>
      <c r="G23" s="1" t="n">
        <f aca="false">G4</f>
        <v>0</v>
      </c>
      <c r="H23" s="1" t="n">
        <f aca="false">H4</f>
        <v>0</v>
      </c>
      <c r="I23" s="1" t="n">
        <f aca="false">I4</f>
        <v>0</v>
      </c>
      <c r="J23" s="1" t="n">
        <f aca="false">J4</f>
        <v>1</v>
      </c>
      <c r="K23" s="1" t="s">
        <v>4</v>
      </c>
      <c r="L23" s="1" t="n">
        <f aca="false">L4</f>
        <v>0</v>
      </c>
      <c r="M23" s="1" t="n">
        <f aca="false">M4</f>
        <v>1</v>
      </c>
      <c r="N23" s="1" t="n">
        <f aca="false">N4</f>
        <v>1</v>
      </c>
      <c r="O23" s="1" t="n">
        <f aca="false">O4</f>
        <v>0</v>
      </c>
      <c r="P23" s="1" t="s">
        <v>4</v>
      </c>
      <c r="Q23" s="1" t="n">
        <f aca="false">Q4</f>
        <v>0</v>
      </c>
      <c r="R23" s="1" t="n">
        <f aca="false">R4</f>
        <v>1</v>
      </c>
      <c r="S23" s="1" t="n">
        <f aca="false">S4</f>
        <v>0</v>
      </c>
      <c r="T23" s="1" t="n">
        <f aca="false">T4</f>
        <v>1</v>
      </c>
      <c r="U23" s="1" t="s">
        <v>4</v>
      </c>
      <c r="V23" s="1" t="n">
        <f aca="false">V4</f>
        <v>1</v>
      </c>
      <c r="W23" s="1" t="n">
        <f aca="false">W4</f>
        <v>0</v>
      </c>
      <c r="X23" s="1" t="n">
        <f aca="false">X4</f>
        <v>0</v>
      </c>
      <c r="Y23" s="1" t="n">
        <f aca="false">Y4</f>
        <v>0</v>
      </c>
      <c r="AA23" s="1" t="s">
        <v>39</v>
      </c>
      <c r="AB23" s="1" t="n">
        <f aca="false">C4</f>
        <v>5720</v>
      </c>
      <c r="AC23" s="3" t="str">
        <f aca="false">"При сложении "&amp;IF(AB23&lt;0,"отрицательного","положительного")&amp;" и "&amp;IF(AB24&lt;0,"отрицательного","положительного")&amp;" чисел получилось "&amp;IF(AB26&lt;0,"отрицательное","положительное")&amp;". "&amp;IF(Z26=AB26,"Результат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 так как вышли за пределы ОДЗ")</f>
        <v>При сложении положительного и положительного чисел получилось положительное. Результат выполнения операций верный и корректный, совпадает с суммой десятичных эквивалентов</v>
      </c>
    </row>
    <row r="24" customFormat="false" ht="12.8" hidden="false" customHeight="true" outlineLevel="0" collapsed="false">
      <c r="E24" s="1" t="s">
        <v>6</v>
      </c>
      <c r="G24" s="1" t="n">
        <f aca="false">G5</f>
        <v>0</v>
      </c>
      <c r="H24" s="1" t="n">
        <f aca="false">H5</f>
        <v>1</v>
      </c>
      <c r="I24" s="1" t="n">
        <f aca="false">I5</f>
        <v>0</v>
      </c>
      <c r="J24" s="1" t="n">
        <f aca="false">J5</f>
        <v>1</v>
      </c>
      <c r="K24" s="1" t="s">
        <v>4</v>
      </c>
      <c r="L24" s="1" t="n">
        <f aca="false">L5</f>
        <v>0</v>
      </c>
      <c r="M24" s="1" t="n">
        <f aca="false">M5</f>
        <v>1</v>
      </c>
      <c r="N24" s="1" t="n">
        <f aca="false">N5</f>
        <v>1</v>
      </c>
      <c r="O24" s="1" t="n">
        <f aca="false">O5</f>
        <v>0</v>
      </c>
      <c r="P24" s="1" t="s">
        <v>4</v>
      </c>
      <c r="Q24" s="1" t="n">
        <f aca="false">Q5</f>
        <v>0</v>
      </c>
      <c r="R24" s="1" t="n">
        <f aca="false">R5</f>
        <v>1</v>
      </c>
      <c r="S24" s="1" t="n">
        <f aca="false">S5</f>
        <v>0</v>
      </c>
      <c r="T24" s="1" t="n">
        <f aca="false">T5</f>
        <v>0</v>
      </c>
      <c r="U24" s="1" t="s">
        <v>4</v>
      </c>
      <c r="V24" s="1" t="n">
        <f aca="false">V5</f>
        <v>1</v>
      </c>
      <c r="W24" s="1" t="n">
        <f aca="false">W5</f>
        <v>1</v>
      </c>
      <c r="X24" s="1" t="n">
        <f aca="false">X5</f>
        <v>0</v>
      </c>
      <c r="Y24" s="1" t="n">
        <f aca="false">Y5</f>
        <v>1</v>
      </c>
      <c r="AA24" s="1" t="s">
        <v>40</v>
      </c>
      <c r="AB24" s="1" t="n">
        <f aca="false">C5</f>
        <v>22093</v>
      </c>
      <c r="AC24" s="3"/>
    </row>
    <row r="25" customFormat="false" ht="12.8" hidden="false" customHeight="true" outlineLevel="0" collapsed="false">
      <c r="G25" s="1" t="s">
        <v>41</v>
      </c>
      <c r="H25" s="1" t="s">
        <v>41</v>
      </c>
      <c r="I25" s="1" t="s">
        <v>41</v>
      </c>
      <c r="J25" s="1" t="s">
        <v>41</v>
      </c>
      <c r="K25" s="1" t="s">
        <v>4</v>
      </c>
      <c r="L25" s="1" t="s">
        <v>41</v>
      </c>
      <c r="M25" s="1" t="s">
        <v>41</v>
      </c>
      <c r="N25" s="1" t="s">
        <v>41</v>
      </c>
      <c r="O25" s="1" t="s">
        <v>41</v>
      </c>
      <c r="P25" s="1" t="s">
        <v>4</v>
      </c>
      <c r="Q25" s="1" t="s">
        <v>41</v>
      </c>
      <c r="R25" s="1" t="s">
        <v>41</v>
      </c>
      <c r="S25" s="1" t="s">
        <v>41</v>
      </c>
      <c r="T25" s="1" t="s">
        <v>41</v>
      </c>
      <c r="U25" s="1" t="s">
        <v>4</v>
      </c>
      <c r="V25" s="1" t="s">
        <v>41</v>
      </c>
      <c r="W25" s="1" t="s">
        <v>41</v>
      </c>
      <c r="X25" s="1" t="s">
        <v>41</v>
      </c>
      <c r="Y25" s="1" t="s">
        <v>41</v>
      </c>
      <c r="AB25" s="1" t="s">
        <v>42</v>
      </c>
      <c r="AC25" s="3"/>
    </row>
    <row r="26" customFormat="false" ht="12.8" hidden="false" customHeight="true" outlineLevel="0" collapsed="false">
      <c r="E26" s="1" t="s">
        <v>43</v>
      </c>
      <c r="F26" s="1" t="n">
        <f aca="false">MOD(SUM(F22:F24),2)</f>
        <v>0</v>
      </c>
      <c r="G26" s="1" t="n">
        <f aca="false">MOD(SUM(G22:G24),2)</f>
        <v>0</v>
      </c>
      <c r="H26" s="1" t="n">
        <f aca="false">MOD(SUM(H22:H24),2)</f>
        <v>1</v>
      </c>
      <c r="I26" s="1" t="n">
        <f aca="false">MOD(SUM(I22:I24),2)</f>
        <v>1</v>
      </c>
      <c r="J26" s="1" t="n">
        <f aca="false">MOD(SUM(J22:J24),2)</f>
        <v>0</v>
      </c>
      <c r="K26" s="1" t="s">
        <v>4</v>
      </c>
      <c r="L26" s="1" t="n">
        <f aca="false">MOD(SUM(L22:L24),2)</f>
        <v>1</v>
      </c>
      <c r="M26" s="1" t="n">
        <f aca="false">MOD(SUM(M22:M24),2)</f>
        <v>1</v>
      </c>
      <c r="N26" s="1" t="n">
        <f aca="false">MOD(SUM(N22:N24),2)</f>
        <v>0</v>
      </c>
      <c r="O26" s="1" t="n">
        <f aca="false">MOD(SUM(O22:O24),2)</f>
        <v>0</v>
      </c>
      <c r="P26" s="1" t="s">
        <v>4</v>
      </c>
      <c r="Q26" s="1" t="n">
        <f aca="false">MOD(SUM(Q22:Q24),2)</f>
        <v>1</v>
      </c>
      <c r="R26" s="1" t="n">
        <f aca="false">MOD(SUM(R22:R24),2)</f>
        <v>0</v>
      </c>
      <c r="S26" s="1" t="n">
        <f aca="false">MOD(SUM(S22:S24),2)</f>
        <v>1</v>
      </c>
      <c r="T26" s="1" t="n">
        <f aca="false">MOD(SUM(T22:T24),2)</f>
        <v>0</v>
      </c>
      <c r="U26" s="1" t="s">
        <v>4</v>
      </c>
      <c r="V26" s="1" t="n">
        <f aca="false">MOD(SUM(V22:V24),2)</f>
        <v>0</v>
      </c>
      <c r="W26" s="1" t="n">
        <f aca="false">MOD(SUM(W22:W24),2)</f>
        <v>1</v>
      </c>
      <c r="X26" s="1" t="n">
        <f aca="false">MOD(SUM(X22:X24),2)</f>
        <v>0</v>
      </c>
      <c r="Y26" s="1" t="n">
        <f aca="false">MOD(SUM(Y22:Y24),2)</f>
        <v>1</v>
      </c>
      <c r="Z26" s="1" t="n">
        <f aca="false">IF(G26=1,-(65536-SUM(AE26:AT26)),SUM(AE26:AT26))</f>
        <v>27813</v>
      </c>
      <c r="AA26" s="1" t="s">
        <v>44</v>
      </c>
      <c r="AB26" s="1" t="n">
        <f aca="false">AB23+AB24</f>
        <v>27813</v>
      </c>
      <c r="AC26" s="3"/>
      <c r="AE26" s="1" t="n">
        <f aca="false">POWER(2,G2)*G26</f>
        <v>0</v>
      </c>
      <c r="AF26" s="1" t="n">
        <f aca="false">POWER(2,H2)*H26</f>
        <v>16384</v>
      </c>
      <c r="AG26" s="1" t="n">
        <f aca="false">POWER(2,I2)*I26</f>
        <v>8192</v>
      </c>
      <c r="AH26" s="1" t="n">
        <f aca="false">POWER(2,J2)*J26</f>
        <v>0</v>
      </c>
      <c r="AI26" s="1" t="n">
        <f aca="false">POWER(2,L2)*L26</f>
        <v>2048</v>
      </c>
      <c r="AJ26" s="1" t="n">
        <f aca="false">POWER(2,M2)*M26</f>
        <v>1024</v>
      </c>
      <c r="AK26" s="1" t="n">
        <f aca="false">POWER(2,N2)*N26</f>
        <v>0</v>
      </c>
      <c r="AL26" s="1" t="n">
        <f aca="false">POWER(2,O2)*O26</f>
        <v>0</v>
      </c>
      <c r="AM26" s="1" t="n">
        <f aca="false">POWER(2,Q2)*Q26</f>
        <v>128</v>
      </c>
      <c r="AN26" s="1" t="n">
        <f aca="false">POWER(2,R2)*R26</f>
        <v>0</v>
      </c>
      <c r="AO26" s="1" t="n">
        <f aca="false">POWER(2,S2)*S26</f>
        <v>32</v>
      </c>
      <c r="AP26" s="1" t="n">
        <f aca="false">POWER(2,T2)*T26</f>
        <v>0</v>
      </c>
      <c r="AQ26" s="1" t="n">
        <f aca="false">POWER(2,V2)*V26</f>
        <v>0</v>
      </c>
      <c r="AR26" s="1" t="n">
        <f aca="false">POWER(2,W2)*W26</f>
        <v>4</v>
      </c>
      <c r="AS26" s="1" t="n">
        <f aca="false">POWER(2,X2)*X26</f>
        <v>0</v>
      </c>
      <c r="AT26" s="1" t="n">
        <f aca="false">POWER(2,Y2)*Y26</f>
        <v>1</v>
      </c>
    </row>
    <row r="28" customFormat="false" ht="12.8" hidden="false" customHeight="true" outlineLevel="0" collapsed="false">
      <c r="F28" s="1" t="s">
        <v>45</v>
      </c>
      <c r="G28" s="1" t="n">
        <f aca="false">IF(F22=G22,0,1)</f>
        <v>0</v>
      </c>
      <c r="I28" s="1" t="s">
        <v>46</v>
      </c>
      <c r="J28" s="1" t="n">
        <f aca="false">T22</f>
        <v>1</v>
      </c>
      <c r="M28" s="1" t="s">
        <v>47</v>
      </c>
      <c r="N28" s="1" t="n">
        <f aca="false">IF(MOD(SUM(Q26:Y26),2)=0,1,0)</f>
        <v>1</v>
      </c>
      <c r="Q28" s="1" t="s">
        <v>48</v>
      </c>
      <c r="R28" s="1" t="n">
        <f aca="false">G26</f>
        <v>0</v>
      </c>
      <c r="T28" s="1" t="s">
        <v>49</v>
      </c>
      <c r="V28" s="1" t="n">
        <f aca="false">IF(Z26=0,1,0)</f>
        <v>0</v>
      </c>
      <c r="X28" s="1" t="s">
        <v>50</v>
      </c>
      <c r="Y28" s="1" t="n">
        <f aca="false">F26</f>
        <v>0</v>
      </c>
    </row>
    <row r="30" customFormat="false" ht="12.8" hidden="false" customHeight="true" outlineLevel="0" collapsed="false">
      <c r="E30" s="1" t="s">
        <v>37</v>
      </c>
      <c r="F30" s="1" t="n">
        <f aca="false">IF(SUM(G30:G32)&gt;=2,1,0)</f>
        <v>0</v>
      </c>
      <c r="G30" s="1" t="n">
        <f aca="false">IF(SUM(H30:H32)&gt;=2,1,0)</f>
        <v>1</v>
      </c>
      <c r="H30" s="1" t="n">
        <f aca="false">IF(SUM(I30:I32)&gt;=2,1,0)</f>
        <v>1</v>
      </c>
      <c r="I30" s="1" t="n">
        <f aca="false">IF(SUM(J30:J32)&gt;=2,1,0)</f>
        <v>1</v>
      </c>
      <c r="J30" s="1" t="n">
        <f aca="false">IF(SUM(L30:L32)&gt;=2,1,0)</f>
        <v>1</v>
      </c>
      <c r="K30" s="1" t="s">
        <v>4</v>
      </c>
      <c r="L30" s="1" t="n">
        <f aca="false">IF(SUM(M30:M32)&gt;=2,1,0)</f>
        <v>1</v>
      </c>
      <c r="M30" s="1" t="n">
        <f aca="false">IF(SUM(N30:N32)&gt;=2,1,0)</f>
        <v>0</v>
      </c>
      <c r="N30" s="1" t="n">
        <f aca="false">IF(SUM(O30:O32)&gt;=2,1,0)</f>
        <v>0</v>
      </c>
      <c r="O30" s="1" t="n">
        <f aca="false">IF(SUM(Q30:Q32)&gt;=2,1,0)</f>
        <v>0</v>
      </c>
      <c r="P30" s="1" t="s">
        <v>4</v>
      </c>
      <c r="Q30" s="1" t="n">
        <f aca="false">IF(SUM(R30:R32)&gt;=2,1,0)</f>
        <v>0</v>
      </c>
      <c r="R30" s="1" t="n">
        <f aca="false">IF(SUM(S30:S32)&gt;=2,1,0)</f>
        <v>0</v>
      </c>
      <c r="S30" s="1" t="n">
        <f aca="false">IF(SUM(T30:T32)&gt;=2,1,0)</f>
        <v>0</v>
      </c>
      <c r="T30" s="1" t="n">
        <f aca="false">IF(SUM(V30:V32)&gt;=2,1,0)</f>
        <v>1</v>
      </c>
      <c r="U30" s="1" t="s">
        <v>4</v>
      </c>
      <c r="V30" s="1" t="n">
        <f aca="false">IF(SUM(W30:W32)&gt;=2,1,0)</f>
        <v>1</v>
      </c>
      <c r="W30" s="1" t="n">
        <f aca="false">IF(SUM(X30:X32)&gt;=2,1,0)</f>
        <v>0</v>
      </c>
      <c r="X30" s="1" t="n">
        <f aca="false">IF(SUM(Y30:Y32)&gt;=2,1,0)</f>
        <v>1</v>
      </c>
    </row>
    <row r="31" customFormat="false" ht="12.8" hidden="false" customHeight="true" outlineLevel="0" collapsed="false">
      <c r="E31" s="1" t="s">
        <v>51</v>
      </c>
      <c r="G31" s="1" t="n">
        <f aca="false">G5</f>
        <v>0</v>
      </c>
      <c r="H31" s="1" t="n">
        <f aca="false">H5</f>
        <v>1</v>
      </c>
      <c r="I31" s="1" t="n">
        <f aca="false">I5</f>
        <v>0</v>
      </c>
      <c r="J31" s="1" t="n">
        <f aca="false">J5</f>
        <v>1</v>
      </c>
      <c r="K31" s="1" t="s">
        <v>4</v>
      </c>
      <c r="L31" s="1" t="n">
        <f aca="false">L5</f>
        <v>0</v>
      </c>
      <c r="M31" s="1" t="n">
        <f aca="false">M5</f>
        <v>1</v>
      </c>
      <c r="N31" s="1" t="n">
        <f aca="false">N5</f>
        <v>1</v>
      </c>
      <c r="O31" s="1" t="n">
        <f aca="false">O5</f>
        <v>0</v>
      </c>
      <c r="P31" s="1" t="s">
        <v>4</v>
      </c>
      <c r="Q31" s="1" t="n">
        <f aca="false">Q5</f>
        <v>0</v>
      </c>
      <c r="R31" s="1" t="n">
        <f aca="false">R5</f>
        <v>1</v>
      </c>
      <c r="S31" s="1" t="n">
        <f aca="false">S5</f>
        <v>0</v>
      </c>
      <c r="T31" s="1" t="n">
        <f aca="false">T5</f>
        <v>0</v>
      </c>
      <c r="U31" s="1" t="s">
        <v>4</v>
      </c>
      <c r="V31" s="1" t="n">
        <f aca="false">V5</f>
        <v>1</v>
      </c>
      <c r="W31" s="1" t="n">
        <f aca="false">W5</f>
        <v>1</v>
      </c>
      <c r="X31" s="1" t="n">
        <f aca="false">X5</f>
        <v>0</v>
      </c>
      <c r="Y31" s="1" t="n">
        <f aca="false">Y5</f>
        <v>1</v>
      </c>
      <c r="AA31" s="1" t="s">
        <v>52</v>
      </c>
      <c r="AB31" s="1" t="n">
        <f aca="false">C5</f>
        <v>22093</v>
      </c>
      <c r="AC31" s="3" t="str">
        <f aca="false">"При сложении "&amp;IF(AB31&lt;0,"отрицательного","положительного")&amp;" и "&amp;IF(AB32&lt;0,"отрицательного","положительного")&amp;" чисел получилось "&amp;IF(AB34&lt;0,"отрицательное","положительное")&amp;". "&amp;IF(Z34=AB34,"Результат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 так как вышли за пределы ОДЗ")</f>
        <v>При сложении положительного и положительного чисел получилось положительное. Результат операции неверный и не совпадает с суммой десятичных эквивалентов так как вышли за пределы ОДЗ</v>
      </c>
    </row>
    <row r="32" customFormat="false" ht="12.8" hidden="false" customHeight="true" outlineLevel="0" collapsed="false">
      <c r="E32" s="1" t="s">
        <v>9</v>
      </c>
      <c r="G32" s="1" t="n">
        <f aca="false">G6</f>
        <v>0</v>
      </c>
      <c r="H32" s="1" t="n">
        <f aca="false">H6</f>
        <v>1</v>
      </c>
      <c r="I32" s="1" t="n">
        <f aca="false">I6</f>
        <v>1</v>
      </c>
      <c r="J32" s="1" t="n">
        <f aca="false">J6</f>
        <v>0</v>
      </c>
      <c r="K32" s="1" t="s">
        <v>4</v>
      </c>
      <c r="L32" s="1" t="n">
        <f aca="false">L6</f>
        <v>1</v>
      </c>
      <c r="M32" s="1" t="n">
        <f aca="false">M6</f>
        <v>1</v>
      </c>
      <c r="N32" s="1" t="n">
        <f aca="false">N6</f>
        <v>0</v>
      </c>
      <c r="O32" s="1" t="n">
        <f aca="false">O6</f>
        <v>0</v>
      </c>
      <c r="P32" s="1" t="s">
        <v>4</v>
      </c>
      <c r="Q32" s="1" t="n">
        <f aca="false">Q6</f>
        <v>1</v>
      </c>
      <c r="R32" s="1" t="n">
        <f aca="false">R6</f>
        <v>0</v>
      </c>
      <c r="S32" s="1" t="n">
        <f aca="false">S6</f>
        <v>1</v>
      </c>
      <c r="T32" s="1" t="n">
        <f aca="false">T6</f>
        <v>0</v>
      </c>
      <c r="U32" s="1" t="s">
        <v>4</v>
      </c>
      <c r="V32" s="1" t="n">
        <f aca="false">V6</f>
        <v>0</v>
      </c>
      <c r="W32" s="1" t="n">
        <f aca="false">W6</f>
        <v>1</v>
      </c>
      <c r="X32" s="1" t="n">
        <f aca="false">X6</f>
        <v>0</v>
      </c>
      <c r="Y32" s="1" t="n">
        <f aca="false">Y6</f>
        <v>1</v>
      </c>
      <c r="AA32" s="1" t="s">
        <v>53</v>
      </c>
      <c r="AB32" s="1" t="n">
        <f aca="false">C6</f>
        <v>27813</v>
      </c>
      <c r="AC32" s="3"/>
    </row>
    <row r="33" customFormat="false" ht="12.8" hidden="false" customHeight="true" outlineLevel="0" collapsed="false">
      <c r="G33" s="1" t="s">
        <v>41</v>
      </c>
      <c r="H33" s="1" t="s">
        <v>41</v>
      </c>
      <c r="I33" s="1" t="s">
        <v>41</v>
      </c>
      <c r="J33" s="1" t="s">
        <v>41</v>
      </c>
      <c r="K33" s="1" t="s">
        <v>4</v>
      </c>
      <c r="L33" s="1" t="s">
        <v>41</v>
      </c>
      <c r="M33" s="1" t="s">
        <v>41</v>
      </c>
      <c r="N33" s="1" t="s">
        <v>41</v>
      </c>
      <c r="O33" s="1" t="s">
        <v>41</v>
      </c>
      <c r="P33" s="1" t="s">
        <v>4</v>
      </c>
      <c r="Q33" s="1" t="s">
        <v>41</v>
      </c>
      <c r="R33" s="1" t="s">
        <v>41</v>
      </c>
      <c r="S33" s="1" t="s">
        <v>41</v>
      </c>
      <c r="T33" s="1" t="s">
        <v>41</v>
      </c>
      <c r="U33" s="1" t="s">
        <v>4</v>
      </c>
      <c r="V33" s="1" t="s">
        <v>41</v>
      </c>
      <c r="W33" s="1" t="s">
        <v>41</v>
      </c>
      <c r="X33" s="1" t="s">
        <v>41</v>
      </c>
      <c r="Y33" s="1" t="s">
        <v>41</v>
      </c>
      <c r="AB33" s="1" t="s">
        <v>54</v>
      </c>
      <c r="AC33" s="3"/>
    </row>
    <row r="34" customFormat="false" ht="12.8" hidden="false" customHeight="true" outlineLevel="0" collapsed="false">
      <c r="E34" s="1" t="s">
        <v>43</v>
      </c>
      <c r="F34" s="1" t="n">
        <f aca="false">MOD(SUM(F30:F32),2)</f>
        <v>0</v>
      </c>
      <c r="G34" s="1" t="n">
        <f aca="false">MOD(SUM(G30:G32),2)</f>
        <v>1</v>
      </c>
      <c r="H34" s="1" t="n">
        <f aca="false">MOD(SUM(H30:H32),2)</f>
        <v>1</v>
      </c>
      <c r="I34" s="1" t="n">
        <f aca="false">MOD(SUM(I30:I32),2)</f>
        <v>0</v>
      </c>
      <c r="J34" s="1" t="n">
        <f aca="false">MOD(SUM(J30:J32),2)</f>
        <v>0</v>
      </c>
      <c r="K34" s="1" t="s">
        <v>4</v>
      </c>
      <c r="L34" s="1" t="n">
        <f aca="false">MOD(SUM(L30:L32),2)</f>
        <v>0</v>
      </c>
      <c r="M34" s="1" t="n">
        <f aca="false">MOD(SUM(M30:M32),2)</f>
        <v>0</v>
      </c>
      <c r="N34" s="1" t="n">
        <f aca="false">MOD(SUM(N30:N32),2)</f>
        <v>1</v>
      </c>
      <c r="O34" s="1" t="n">
        <f aca="false">MOD(SUM(O30:O32),2)</f>
        <v>0</v>
      </c>
      <c r="P34" s="1" t="s">
        <v>4</v>
      </c>
      <c r="Q34" s="1" t="n">
        <f aca="false">MOD(SUM(Q30:Q32),2)</f>
        <v>1</v>
      </c>
      <c r="R34" s="1" t="n">
        <f aca="false">MOD(SUM(R30:R32),2)</f>
        <v>1</v>
      </c>
      <c r="S34" s="1" t="n">
        <f aca="false">MOD(SUM(S30:S32),2)</f>
        <v>1</v>
      </c>
      <c r="T34" s="1" t="n">
        <f aca="false">MOD(SUM(T30:T32),2)</f>
        <v>1</v>
      </c>
      <c r="U34" s="1" t="s">
        <v>4</v>
      </c>
      <c r="V34" s="1" t="n">
        <f aca="false">MOD(SUM(V30:V32),2)</f>
        <v>0</v>
      </c>
      <c r="W34" s="1" t="n">
        <f aca="false">MOD(SUM(W30:W32),2)</f>
        <v>0</v>
      </c>
      <c r="X34" s="1" t="n">
        <f aca="false">MOD(SUM(X30:X32),2)</f>
        <v>1</v>
      </c>
      <c r="Y34" s="1" t="n">
        <f aca="false">MOD(SUM(Y30:Y32),2)</f>
        <v>0</v>
      </c>
      <c r="Z34" s="1" t="n">
        <f aca="false">IF(G34=1,-(65536-SUM(AE34:AT34)),SUM(AE34:AT34))</f>
        <v>-15630</v>
      </c>
      <c r="AB34" s="1" t="n">
        <f aca="false">AB31+AB32</f>
        <v>49906</v>
      </c>
      <c r="AC34" s="3"/>
      <c r="AE34" s="1" t="n">
        <f aca="false">POWER(2,G$2)*G34</f>
        <v>32768</v>
      </c>
      <c r="AF34" s="1" t="n">
        <f aca="false">POWER(2,H$2)*H34</f>
        <v>16384</v>
      </c>
      <c r="AG34" s="1" t="n">
        <f aca="false">POWER(2,I$2)*I34</f>
        <v>0</v>
      </c>
      <c r="AH34" s="1" t="n">
        <f aca="false">POWER(2,J$2)*J34</f>
        <v>0</v>
      </c>
      <c r="AI34" s="1" t="n">
        <f aca="false">POWER(2,L$2)*L34</f>
        <v>0</v>
      </c>
      <c r="AJ34" s="1" t="n">
        <f aca="false">POWER(2,M$2)*M34</f>
        <v>0</v>
      </c>
      <c r="AK34" s="1" t="n">
        <f aca="false">POWER(2,N$2)*N34</f>
        <v>512</v>
      </c>
      <c r="AL34" s="1" t="n">
        <f aca="false">POWER(2,O$2)*O34</f>
        <v>0</v>
      </c>
      <c r="AM34" s="1" t="n">
        <f aca="false">POWER(2,Q$2)*Q34</f>
        <v>128</v>
      </c>
      <c r="AN34" s="1" t="n">
        <f aca="false">POWER(2,R$2)*R34</f>
        <v>64</v>
      </c>
      <c r="AO34" s="1" t="n">
        <f aca="false">POWER(2,S$2)*S34</f>
        <v>32</v>
      </c>
      <c r="AP34" s="1" t="n">
        <f aca="false">POWER(2,T$2)*T34</f>
        <v>16</v>
      </c>
      <c r="AQ34" s="1" t="n">
        <f aca="false">POWER(2,V$2)*V34</f>
        <v>0</v>
      </c>
      <c r="AR34" s="1" t="n">
        <f aca="false">POWER(2,W$2)*W34</f>
        <v>0</v>
      </c>
      <c r="AS34" s="1" t="n">
        <f aca="false">POWER(2,X$2)*X34</f>
        <v>2</v>
      </c>
      <c r="AT34" s="1" t="n">
        <f aca="false">POWER(2,Y$2)*Y34</f>
        <v>0</v>
      </c>
    </row>
    <row r="36" customFormat="false" ht="12.8" hidden="false" customHeight="true" outlineLevel="0" collapsed="false">
      <c r="F36" s="1" t="s">
        <v>45</v>
      </c>
      <c r="G36" s="1" t="n">
        <f aca="false">IF(F30=G30,0,1)</f>
        <v>1</v>
      </c>
      <c r="I36" s="1" t="s">
        <v>46</v>
      </c>
      <c r="J36" s="1" t="n">
        <f aca="false">T30</f>
        <v>1</v>
      </c>
      <c r="M36" s="1" t="s">
        <v>47</v>
      </c>
      <c r="N36" s="1" t="n">
        <f aca="false">IF(MOD(SUM(Q34:Y34),2)=0,1,0)</f>
        <v>0</v>
      </c>
      <c r="Q36" s="1" t="s">
        <v>48</v>
      </c>
      <c r="R36" s="1" t="n">
        <f aca="false">G34</f>
        <v>1</v>
      </c>
      <c r="T36" s="1" t="s">
        <v>49</v>
      </c>
      <c r="V36" s="1" t="n">
        <f aca="false">IF(Z34=0,1,0)</f>
        <v>0</v>
      </c>
      <c r="X36" s="1" t="s">
        <v>50</v>
      </c>
      <c r="Y36" s="1" t="n">
        <f aca="false">F34</f>
        <v>0</v>
      </c>
    </row>
    <row r="38" customFormat="false" ht="12.8" hidden="false" customHeight="true" outlineLevel="0" collapsed="false">
      <c r="E38" s="1" t="s">
        <v>37</v>
      </c>
      <c r="F38" s="1" t="n">
        <f aca="false">IF(SUM(G38:G40)&gt;=2,1,0)</f>
        <v>1</v>
      </c>
      <c r="G38" s="1" t="n">
        <f aca="false">IF(SUM(H38:H40)&gt;=2,1,0)</f>
        <v>1</v>
      </c>
      <c r="H38" s="1" t="n">
        <f aca="false">IF(SUM(I38:I40)&gt;=2,1,0)</f>
        <v>0</v>
      </c>
      <c r="I38" s="1" t="n">
        <f aca="false">IF(SUM(J38:J40)&gt;=2,1,0)</f>
        <v>0</v>
      </c>
      <c r="J38" s="1" t="n">
        <f aca="false">IF(SUM(L38:L40)&gt;=2,1,0)</f>
        <v>0</v>
      </c>
      <c r="K38" s="1" t="s">
        <v>4</v>
      </c>
      <c r="L38" s="1" t="n">
        <f aca="false">IF(SUM(M38:M40)&gt;=2,1,0)</f>
        <v>0</v>
      </c>
      <c r="M38" s="1" t="n">
        <f aca="false">IF(SUM(N38:N40)&gt;=2,1,0)</f>
        <v>0</v>
      </c>
      <c r="N38" s="1" t="n">
        <f aca="false">IF(SUM(O38:O40)&gt;=2,1,0)</f>
        <v>0</v>
      </c>
      <c r="O38" s="1" t="n">
        <f aca="false">IF(SUM(Q38:Q40)&gt;=2,1,0)</f>
        <v>0</v>
      </c>
      <c r="P38" s="1" t="s">
        <v>4</v>
      </c>
      <c r="Q38" s="1" t="n">
        <f aca="false">IF(SUM(R38:R40)&gt;=2,1,0)</f>
        <v>0</v>
      </c>
      <c r="R38" s="1" t="n">
        <f aca="false">IF(SUM(S38:S40)&gt;=2,1,0)</f>
        <v>0</v>
      </c>
      <c r="S38" s="1" t="n">
        <f aca="false">IF(SUM(T38:T40)&gt;=2,1,0)</f>
        <v>0</v>
      </c>
      <c r="T38" s="1" t="n">
        <f aca="false">IF(SUM(V38:V40)&gt;=2,1,0)</f>
        <v>1</v>
      </c>
      <c r="U38" s="1" t="s">
        <v>4</v>
      </c>
      <c r="V38" s="1" t="n">
        <f aca="false">IF(SUM(W38:W40)&gt;=2,1,0)</f>
        <v>0</v>
      </c>
      <c r="W38" s="1" t="n">
        <f aca="false">IF(SUM(X38:X40)&gt;=2,1,0)</f>
        <v>0</v>
      </c>
      <c r="X38" s="1" t="n">
        <f aca="false">IF(SUM(Y38:Y40)&gt;=2,1,0)</f>
        <v>0</v>
      </c>
    </row>
    <row r="39" customFormat="false" ht="12.8" hidden="false" customHeight="true" outlineLevel="0" collapsed="false">
      <c r="E39" s="1" t="s">
        <v>51</v>
      </c>
      <c r="G39" s="1" t="n">
        <f aca="false">G5</f>
        <v>0</v>
      </c>
      <c r="H39" s="1" t="n">
        <f aca="false">H5</f>
        <v>1</v>
      </c>
      <c r="I39" s="1" t="n">
        <f aca="false">I5</f>
        <v>0</v>
      </c>
      <c r="J39" s="1" t="n">
        <f aca="false">J5</f>
        <v>1</v>
      </c>
      <c r="K39" s="1" t="s">
        <v>4</v>
      </c>
      <c r="L39" s="1" t="n">
        <f aca="false">L5</f>
        <v>0</v>
      </c>
      <c r="M39" s="1" t="n">
        <f aca="false">M5</f>
        <v>1</v>
      </c>
      <c r="N39" s="1" t="n">
        <f aca="false">N5</f>
        <v>1</v>
      </c>
      <c r="O39" s="1" t="n">
        <f aca="false">O5</f>
        <v>0</v>
      </c>
      <c r="P39" s="1" t="s">
        <v>4</v>
      </c>
      <c r="Q39" s="1" t="n">
        <f aca="false">Q5</f>
        <v>0</v>
      </c>
      <c r="R39" s="1" t="n">
        <f aca="false">R5</f>
        <v>1</v>
      </c>
      <c r="S39" s="1" t="n">
        <f aca="false">S5</f>
        <v>0</v>
      </c>
      <c r="T39" s="1" t="n">
        <f aca="false">T5</f>
        <v>0</v>
      </c>
      <c r="U39" s="1" t="s">
        <v>4</v>
      </c>
      <c r="V39" s="1" t="n">
        <f aca="false">V5</f>
        <v>1</v>
      </c>
      <c r="W39" s="1" t="n">
        <f aca="false">W5</f>
        <v>1</v>
      </c>
      <c r="X39" s="1" t="n">
        <f aca="false">X5</f>
        <v>0</v>
      </c>
      <c r="Y39" s="1" t="n">
        <f aca="false">Y5</f>
        <v>1</v>
      </c>
      <c r="AA39" s="1" t="s">
        <v>52</v>
      </c>
      <c r="AB39" s="1" t="n">
        <f aca="false">C5</f>
        <v>22093</v>
      </c>
      <c r="AC39" s="3" t="str">
        <f aca="false">"При сложении "&amp;IF(AB39&lt;0,"отрицательного","положительного")&amp;" и "&amp;IF(AB40&lt;0,"отрицательного","положительного")&amp;" чисел получилось "&amp;IF(AB42&lt;0,"отрицательное","положительное")&amp;". "&amp;IF(Z42=AB42,"Результат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 так как вышли за пределы ОДЗ")</f>
        <v>При сложении положительного и отрицательного чисел получилось положительное. Результат выполнения операций верный и корректный, совпадает с суммой десятичных эквивалентов</v>
      </c>
    </row>
    <row r="40" customFormat="false" ht="12.8" hidden="false" customHeight="true" outlineLevel="0" collapsed="false">
      <c r="E40" s="1" t="s">
        <v>21</v>
      </c>
      <c r="G40" s="1" t="n">
        <f aca="false">G10</f>
        <v>1</v>
      </c>
      <c r="H40" s="1" t="n">
        <f aca="false">H10</f>
        <v>1</v>
      </c>
      <c r="I40" s="1" t="n">
        <f aca="false">I10</f>
        <v>1</v>
      </c>
      <c r="J40" s="1" t="n">
        <f aca="false">J10</f>
        <v>0</v>
      </c>
      <c r="K40" s="1" t="s">
        <v>4</v>
      </c>
      <c r="L40" s="1" t="n">
        <f aca="false">L10</f>
        <v>1</v>
      </c>
      <c r="M40" s="1" t="n">
        <f aca="false">M10</f>
        <v>0</v>
      </c>
      <c r="N40" s="1" t="n">
        <f aca="false">N10</f>
        <v>0</v>
      </c>
      <c r="O40" s="1" t="n">
        <f aca="false">O10</f>
        <v>1</v>
      </c>
      <c r="P40" s="1" t="s">
        <v>4</v>
      </c>
      <c r="Q40" s="1" t="n">
        <f aca="false">Q10</f>
        <v>1</v>
      </c>
      <c r="R40" s="1" t="n">
        <f aca="false">R10</f>
        <v>0</v>
      </c>
      <c r="S40" s="1" t="n">
        <f aca="false">S10</f>
        <v>1</v>
      </c>
      <c r="T40" s="1" t="n">
        <f aca="false">T10</f>
        <v>0</v>
      </c>
      <c r="U40" s="1" t="s">
        <v>4</v>
      </c>
      <c r="V40" s="1" t="n">
        <f aca="false">V10</f>
        <v>1</v>
      </c>
      <c r="W40" s="1" t="n">
        <f aca="false">W10</f>
        <v>0</v>
      </c>
      <c r="X40" s="1" t="n">
        <f aca="false">X10</f>
        <v>0</v>
      </c>
      <c r="Y40" s="1" t="n">
        <f aca="false">Y10</f>
        <v>0</v>
      </c>
      <c r="AA40" s="1" t="s">
        <v>55</v>
      </c>
      <c r="AB40" s="1" t="n">
        <f aca="false">C10</f>
        <v>-5720</v>
      </c>
      <c r="AC40" s="3"/>
    </row>
    <row r="41" customFormat="false" ht="12.8" hidden="false" customHeight="true" outlineLevel="0" collapsed="false">
      <c r="G41" s="1" t="s">
        <v>41</v>
      </c>
      <c r="H41" s="1" t="s">
        <v>41</v>
      </c>
      <c r="I41" s="1" t="s">
        <v>41</v>
      </c>
      <c r="J41" s="1" t="s">
        <v>41</v>
      </c>
      <c r="K41" s="1" t="s">
        <v>4</v>
      </c>
      <c r="L41" s="1" t="s">
        <v>41</v>
      </c>
      <c r="M41" s="1" t="s">
        <v>41</v>
      </c>
      <c r="N41" s="1" t="s">
        <v>41</v>
      </c>
      <c r="O41" s="1" t="s">
        <v>41</v>
      </c>
      <c r="P41" s="1" t="s">
        <v>4</v>
      </c>
      <c r="Q41" s="1" t="s">
        <v>41</v>
      </c>
      <c r="R41" s="1" t="s">
        <v>41</v>
      </c>
      <c r="S41" s="1" t="s">
        <v>41</v>
      </c>
      <c r="T41" s="1" t="s">
        <v>41</v>
      </c>
      <c r="U41" s="1" t="s">
        <v>4</v>
      </c>
      <c r="V41" s="1" t="s">
        <v>41</v>
      </c>
      <c r="W41" s="1" t="s">
        <v>41</v>
      </c>
      <c r="X41" s="1" t="s">
        <v>41</v>
      </c>
      <c r="Y41" s="1" t="s">
        <v>41</v>
      </c>
      <c r="AB41" s="1" t="s">
        <v>56</v>
      </c>
      <c r="AC41" s="3"/>
    </row>
    <row r="42" customFormat="false" ht="12.8" hidden="false" customHeight="true" outlineLevel="0" collapsed="false">
      <c r="E42" s="1" t="s">
        <v>43</v>
      </c>
      <c r="F42" s="1" t="n">
        <f aca="false">MOD(SUM(F38:F40),2)</f>
        <v>1</v>
      </c>
      <c r="G42" s="1" t="n">
        <f aca="false">MOD(SUM(G38:G40),2)</f>
        <v>0</v>
      </c>
      <c r="H42" s="1" t="n">
        <f aca="false">MOD(SUM(H38:H40),2)</f>
        <v>0</v>
      </c>
      <c r="I42" s="1" t="n">
        <f aca="false">MOD(SUM(I38:I40),2)</f>
        <v>1</v>
      </c>
      <c r="J42" s="1" t="n">
        <f aca="false">MOD(SUM(J38:J40),2)</f>
        <v>1</v>
      </c>
      <c r="K42" s="1" t="s">
        <v>4</v>
      </c>
      <c r="L42" s="1" t="n">
        <f aca="false">MOD(SUM(L38:L40),2)</f>
        <v>1</v>
      </c>
      <c r="M42" s="1" t="n">
        <f aca="false">MOD(SUM(M38:M40),2)</f>
        <v>1</v>
      </c>
      <c r="N42" s="1" t="n">
        <f aca="false">MOD(SUM(N38:N40),2)</f>
        <v>1</v>
      </c>
      <c r="O42" s="1" t="n">
        <f aca="false">MOD(SUM(O38:O40),2)</f>
        <v>1</v>
      </c>
      <c r="P42" s="1" t="s">
        <v>4</v>
      </c>
      <c r="Q42" s="1" t="n">
        <f aca="false">MOD(SUM(Q38:Q40),2)</f>
        <v>1</v>
      </c>
      <c r="R42" s="1" t="n">
        <f aca="false">MOD(SUM(R38:R40),2)</f>
        <v>1</v>
      </c>
      <c r="S42" s="1" t="n">
        <f aca="false">MOD(SUM(S38:S40),2)</f>
        <v>1</v>
      </c>
      <c r="T42" s="1" t="n">
        <f aca="false">MOD(SUM(T38:T40),2)</f>
        <v>1</v>
      </c>
      <c r="U42" s="1" t="s">
        <v>4</v>
      </c>
      <c r="V42" s="1" t="n">
        <f aca="false">MOD(SUM(V38:V40),2)</f>
        <v>0</v>
      </c>
      <c r="W42" s="1" t="n">
        <f aca="false">MOD(SUM(W38:W40),2)</f>
        <v>1</v>
      </c>
      <c r="X42" s="1" t="n">
        <f aca="false">MOD(SUM(X38:X40),2)</f>
        <v>0</v>
      </c>
      <c r="Y42" s="1" t="n">
        <f aca="false">MOD(SUM(Y38:Y40),2)</f>
        <v>1</v>
      </c>
      <c r="Z42" s="1" t="n">
        <f aca="false">IF(G42=1,-(65536-SUM(AE42:AT42)),SUM(AE42:AT42))</f>
        <v>16373</v>
      </c>
      <c r="AB42" s="1" t="n">
        <f aca="false">AB39+AB40</f>
        <v>16373</v>
      </c>
      <c r="AC42" s="3"/>
      <c r="AE42" s="1" t="n">
        <f aca="false">POWER(2,G$2)*G42</f>
        <v>0</v>
      </c>
      <c r="AF42" s="1" t="n">
        <f aca="false">POWER(2,H$2)*H42</f>
        <v>0</v>
      </c>
      <c r="AG42" s="1" t="n">
        <f aca="false">POWER(2,I$2)*I42</f>
        <v>8192</v>
      </c>
      <c r="AH42" s="1" t="n">
        <f aca="false">POWER(2,J$2)*J42</f>
        <v>4096</v>
      </c>
      <c r="AI42" s="1" t="n">
        <f aca="false">POWER(2,L$2)*L42</f>
        <v>2048</v>
      </c>
      <c r="AJ42" s="1" t="n">
        <f aca="false">POWER(2,M$2)*M42</f>
        <v>1024</v>
      </c>
      <c r="AK42" s="1" t="n">
        <f aca="false">POWER(2,N$2)*N42</f>
        <v>512</v>
      </c>
      <c r="AL42" s="1" t="n">
        <f aca="false">POWER(2,O$2)*O42</f>
        <v>256</v>
      </c>
      <c r="AM42" s="1" t="n">
        <f aca="false">POWER(2,Q$2)*Q42</f>
        <v>128</v>
      </c>
      <c r="AN42" s="1" t="n">
        <f aca="false">POWER(2,R$2)*R42</f>
        <v>64</v>
      </c>
      <c r="AO42" s="1" t="n">
        <f aca="false">POWER(2,S$2)*S42</f>
        <v>32</v>
      </c>
      <c r="AP42" s="1" t="n">
        <f aca="false">POWER(2,T$2)*T42</f>
        <v>16</v>
      </c>
      <c r="AQ42" s="1" t="n">
        <f aca="false">POWER(2,V$2)*V42</f>
        <v>0</v>
      </c>
      <c r="AR42" s="1" t="n">
        <f aca="false">POWER(2,W$2)*W42</f>
        <v>4</v>
      </c>
      <c r="AS42" s="1" t="n">
        <f aca="false">POWER(2,X$2)*X42</f>
        <v>0</v>
      </c>
      <c r="AT42" s="1" t="n">
        <f aca="false">POWER(2,Y$2)*Y42</f>
        <v>1</v>
      </c>
    </row>
    <row r="44" customFormat="false" ht="12.8" hidden="false" customHeight="true" outlineLevel="0" collapsed="false">
      <c r="F44" s="1" t="s">
        <v>45</v>
      </c>
      <c r="G44" s="1" t="n">
        <f aca="false">IF(F38=G38,0,1)</f>
        <v>0</v>
      </c>
      <c r="I44" s="1" t="s">
        <v>46</v>
      </c>
      <c r="J44" s="1" t="n">
        <f aca="false">T38</f>
        <v>1</v>
      </c>
      <c r="M44" s="1" t="s">
        <v>47</v>
      </c>
      <c r="N44" s="1" t="n">
        <f aca="false">IF(MOD(SUM(Q42:Y42),2)=0,1,0)</f>
        <v>1</v>
      </c>
      <c r="Q44" s="1" t="s">
        <v>48</v>
      </c>
      <c r="R44" s="1" t="n">
        <f aca="false">G42</f>
        <v>0</v>
      </c>
      <c r="T44" s="1" t="s">
        <v>49</v>
      </c>
      <c r="V44" s="1" t="n">
        <f aca="false">IF(Z42=0,1,0)</f>
        <v>0</v>
      </c>
      <c r="X44" s="1" t="s">
        <v>50</v>
      </c>
      <c r="Y44" s="1" t="n">
        <f aca="false">F42</f>
        <v>1</v>
      </c>
    </row>
    <row r="46" customFormat="false" ht="12.8" hidden="false" customHeight="true" outlineLevel="0" collapsed="false">
      <c r="E46" s="1" t="s">
        <v>37</v>
      </c>
      <c r="F46" s="1" t="n">
        <f aca="false">IF(SUM(G46:G48)&gt;=2,1,0)</f>
        <v>1</v>
      </c>
      <c r="G46" s="1" t="n">
        <f aca="false">IF(SUM(H46:H48)&gt;=2,1,0)</f>
        <v>1</v>
      </c>
      <c r="H46" s="1" t="n">
        <f aca="false">IF(SUM(I46:I48)&gt;=2,1,0)</f>
        <v>1</v>
      </c>
      <c r="I46" s="1" t="n">
        <f aca="false">IF(SUM(J46:J48)&gt;=2,1,0)</f>
        <v>0</v>
      </c>
      <c r="J46" s="1" t="n">
        <f aca="false">IF(SUM(L46:L48)&gt;=2,1,0)</f>
        <v>1</v>
      </c>
      <c r="K46" s="1" t="s">
        <v>4</v>
      </c>
      <c r="L46" s="1" t="n">
        <f aca="false">IF(SUM(M46:M48)&gt;=2,1,0)</f>
        <v>0</v>
      </c>
      <c r="M46" s="1" t="n">
        <f aca="false">IF(SUM(N46:N48)&gt;=2,1,0)</f>
        <v>0</v>
      </c>
      <c r="N46" s="1" t="n">
        <f aca="false">IF(SUM(O46:O48)&gt;=2,1,0)</f>
        <v>1</v>
      </c>
      <c r="O46" s="1" t="n">
        <f aca="false">IF(SUM(Q46:Q48)&gt;=2,1,0)</f>
        <v>1</v>
      </c>
      <c r="P46" s="1" t="s">
        <v>4</v>
      </c>
      <c r="Q46" s="1" t="n">
        <f aca="false">IF(SUM(R46:R48)&gt;=2,1,0)</f>
        <v>0</v>
      </c>
      <c r="R46" s="1" t="n">
        <f aca="false">IF(SUM(S46:S48)&gt;=2,1,0)</f>
        <v>1</v>
      </c>
      <c r="S46" s="1" t="n">
        <f aca="false">IF(SUM(T46:T48)&gt;=2,1,0)</f>
        <v>0</v>
      </c>
      <c r="T46" s="1" t="n">
        <f aca="false">IF(SUM(V46:V48)&gt;=2,1,0)</f>
        <v>0</v>
      </c>
      <c r="U46" s="1" t="s">
        <v>4</v>
      </c>
      <c r="V46" s="1" t="n">
        <f aca="false">IF(SUM(W46:W48)&gt;=2,1,0)</f>
        <v>0</v>
      </c>
      <c r="W46" s="1" t="n">
        <f aca="false">IF(SUM(X46:X48)&gt;=2,1,0)</f>
        <v>0</v>
      </c>
      <c r="X46" s="1" t="n">
        <f aca="false">IF(SUM(Y46:Y48)&gt;=2,1,0)</f>
        <v>0</v>
      </c>
    </row>
    <row r="47" customFormat="false" ht="12.8" hidden="false" customHeight="true" outlineLevel="0" collapsed="false">
      <c r="E47" s="1" t="s">
        <v>57</v>
      </c>
      <c r="G47" s="1" t="n">
        <f aca="false">G10</f>
        <v>1</v>
      </c>
      <c r="H47" s="1" t="n">
        <f aca="false">H10</f>
        <v>1</v>
      </c>
      <c r="I47" s="1" t="n">
        <f aca="false">I10</f>
        <v>1</v>
      </c>
      <c r="J47" s="1" t="n">
        <f aca="false">J10</f>
        <v>0</v>
      </c>
      <c r="K47" s="1" t="s">
        <v>4</v>
      </c>
      <c r="L47" s="1" t="n">
        <f aca="false">L10</f>
        <v>1</v>
      </c>
      <c r="M47" s="1" t="n">
        <f aca="false">M10</f>
        <v>0</v>
      </c>
      <c r="N47" s="1" t="n">
        <f aca="false">N10</f>
        <v>0</v>
      </c>
      <c r="O47" s="1" t="n">
        <f aca="false">O10</f>
        <v>1</v>
      </c>
      <c r="P47" s="1" t="s">
        <v>4</v>
      </c>
      <c r="Q47" s="1" t="n">
        <f aca="false">Q10</f>
        <v>1</v>
      </c>
      <c r="R47" s="1" t="n">
        <f aca="false">R10</f>
        <v>0</v>
      </c>
      <c r="S47" s="1" t="n">
        <f aca="false">S10</f>
        <v>1</v>
      </c>
      <c r="T47" s="1" t="n">
        <f aca="false">T10</f>
        <v>0</v>
      </c>
      <c r="U47" s="1" t="s">
        <v>4</v>
      </c>
      <c r="V47" s="1" t="n">
        <f aca="false">V10</f>
        <v>1</v>
      </c>
      <c r="W47" s="1" t="n">
        <f aca="false">W10</f>
        <v>0</v>
      </c>
      <c r="X47" s="1" t="n">
        <f aca="false">X10</f>
        <v>0</v>
      </c>
      <c r="Y47" s="1" t="n">
        <f aca="false">Y10</f>
        <v>0</v>
      </c>
      <c r="AA47" s="1" t="s">
        <v>58</v>
      </c>
      <c r="AB47" s="1" t="n">
        <f aca="false">C10</f>
        <v>-5720</v>
      </c>
      <c r="AC47" s="3" t="str">
        <f aca="false">"При сложении "&amp;IF(AB47&lt;0,"отрицательного","положительного")&amp;" и "&amp;IF(AB48&lt;0,"отрицательного","положительного")&amp;" чисел получилось "&amp;IF(AB50&lt;0,"отрицательное","положительное")&amp;". "&amp;IF(Z50=AB50,"Результат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 так как вышли за пределы ОДЗ")</f>
        <v>При сложении отрицательного и отрицательного чисел получилось отрицательное. Результат выполнения операций верный и корректный, совпадает с суммой десятичных эквивалентов</v>
      </c>
    </row>
    <row r="48" customFormat="false" ht="12.8" hidden="false" customHeight="true" outlineLevel="0" collapsed="false">
      <c r="E48" s="1" t="s">
        <v>24</v>
      </c>
      <c r="G48" s="1" t="n">
        <f aca="false">G11</f>
        <v>1</v>
      </c>
      <c r="H48" s="1" t="n">
        <f aca="false">H11</f>
        <v>0</v>
      </c>
      <c r="I48" s="1" t="n">
        <f aca="false">I11</f>
        <v>1</v>
      </c>
      <c r="J48" s="1" t="n">
        <f aca="false">J11</f>
        <v>0</v>
      </c>
      <c r="K48" s="1" t="s">
        <v>4</v>
      </c>
      <c r="L48" s="1" t="n">
        <f aca="false">L11</f>
        <v>1</v>
      </c>
      <c r="M48" s="1" t="n">
        <f aca="false">M11</f>
        <v>0</v>
      </c>
      <c r="N48" s="1" t="n">
        <f aca="false">N11</f>
        <v>0</v>
      </c>
      <c r="O48" s="1" t="n">
        <f aca="false">O11</f>
        <v>1</v>
      </c>
      <c r="P48" s="1" t="s">
        <v>4</v>
      </c>
      <c r="Q48" s="1" t="n">
        <f aca="false">Q11</f>
        <v>1</v>
      </c>
      <c r="R48" s="1" t="n">
        <f aca="false">R11</f>
        <v>0</v>
      </c>
      <c r="S48" s="1" t="n">
        <f aca="false">S11</f>
        <v>1</v>
      </c>
      <c r="T48" s="1" t="n">
        <f aca="false">T11</f>
        <v>1</v>
      </c>
      <c r="U48" s="1" t="s">
        <v>4</v>
      </c>
      <c r="V48" s="1" t="n">
        <f aca="false">V11</f>
        <v>0</v>
      </c>
      <c r="W48" s="1" t="n">
        <f aca="false">W11</f>
        <v>0</v>
      </c>
      <c r="X48" s="1" t="n">
        <f aca="false">X11</f>
        <v>1</v>
      </c>
      <c r="Y48" s="1" t="n">
        <f aca="false">Y11</f>
        <v>1</v>
      </c>
      <c r="AA48" s="1" t="s">
        <v>59</v>
      </c>
      <c r="AB48" s="1" t="n">
        <f aca="false">C11</f>
        <v>-22093</v>
      </c>
      <c r="AC48" s="3"/>
    </row>
    <row r="49" customFormat="false" ht="12.8" hidden="false" customHeight="true" outlineLevel="0" collapsed="false">
      <c r="G49" s="1" t="s">
        <v>41</v>
      </c>
      <c r="H49" s="1" t="s">
        <v>41</v>
      </c>
      <c r="I49" s="1" t="s">
        <v>41</v>
      </c>
      <c r="J49" s="1" t="s">
        <v>41</v>
      </c>
      <c r="K49" s="1" t="s">
        <v>4</v>
      </c>
      <c r="L49" s="1" t="s">
        <v>41</v>
      </c>
      <c r="M49" s="1" t="s">
        <v>41</v>
      </c>
      <c r="N49" s="1" t="s">
        <v>41</v>
      </c>
      <c r="O49" s="1" t="s">
        <v>41</v>
      </c>
      <c r="P49" s="1" t="s">
        <v>4</v>
      </c>
      <c r="Q49" s="1" t="s">
        <v>41</v>
      </c>
      <c r="R49" s="1" t="s">
        <v>41</v>
      </c>
      <c r="S49" s="1" t="s">
        <v>41</v>
      </c>
      <c r="T49" s="1" t="s">
        <v>41</v>
      </c>
      <c r="U49" s="1" t="s">
        <v>4</v>
      </c>
      <c r="V49" s="1" t="s">
        <v>41</v>
      </c>
      <c r="W49" s="1" t="s">
        <v>41</v>
      </c>
      <c r="X49" s="1" t="s">
        <v>41</v>
      </c>
      <c r="Y49" s="1" t="s">
        <v>41</v>
      </c>
      <c r="AB49" s="1" t="s">
        <v>54</v>
      </c>
      <c r="AC49" s="3"/>
    </row>
    <row r="50" customFormat="false" ht="12.8" hidden="false" customHeight="true" outlineLevel="0" collapsed="false">
      <c r="E50" s="1" t="s">
        <v>43</v>
      </c>
      <c r="F50" s="1" t="n">
        <f aca="false">MOD(SUM(F46:F48),2)</f>
        <v>1</v>
      </c>
      <c r="G50" s="1" t="n">
        <f aca="false">MOD(SUM(G46:G48),2)</f>
        <v>1</v>
      </c>
      <c r="H50" s="1" t="n">
        <f aca="false">MOD(SUM(H46:H48),2)</f>
        <v>0</v>
      </c>
      <c r="I50" s="1" t="n">
        <f aca="false">MOD(SUM(I46:I48),2)</f>
        <v>0</v>
      </c>
      <c r="J50" s="1" t="n">
        <f aca="false">MOD(SUM(J46:J48),2)</f>
        <v>1</v>
      </c>
      <c r="K50" s="1" t="s">
        <v>4</v>
      </c>
      <c r="L50" s="1" t="n">
        <f aca="false">MOD(SUM(L46:L48),2)</f>
        <v>0</v>
      </c>
      <c r="M50" s="1" t="n">
        <f aca="false">MOD(SUM(M46:M48),2)</f>
        <v>0</v>
      </c>
      <c r="N50" s="1" t="n">
        <f aca="false">MOD(SUM(N46:N48),2)</f>
        <v>1</v>
      </c>
      <c r="O50" s="1" t="n">
        <f aca="false">MOD(SUM(O46:O48),2)</f>
        <v>1</v>
      </c>
      <c r="P50" s="1" t="s">
        <v>4</v>
      </c>
      <c r="Q50" s="1" t="n">
        <f aca="false">MOD(SUM(Q46:Q48),2)</f>
        <v>0</v>
      </c>
      <c r="R50" s="1" t="n">
        <f aca="false">MOD(SUM(R46:R48),2)</f>
        <v>1</v>
      </c>
      <c r="S50" s="1" t="n">
        <f aca="false">MOD(SUM(S46:S48),2)</f>
        <v>0</v>
      </c>
      <c r="T50" s="1" t="n">
        <f aca="false">MOD(SUM(T46:T48),2)</f>
        <v>1</v>
      </c>
      <c r="U50" s="1" t="s">
        <v>4</v>
      </c>
      <c r="V50" s="1" t="n">
        <f aca="false">MOD(SUM(V46:V48),2)</f>
        <v>1</v>
      </c>
      <c r="W50" s="1" t="n">
        <f aca="false">MOD(SUM(W46:W48),2)</f>
        <v>0</v>
      </c>
      <c r="X50" s="1" t="n">
        <f aca="false">MOD(SUM(X46:X48),2)</f>
        <v>1</v>
      </c>
      <c r="Y50" s="1" t="n">
        <f aca="false">MOD(SUM(Y46:Y48),2)</f>
        <v>1</v>
      </c>
      <c r="Z50" s="1" t="n">
        <f aca="false">IF(G50=1,-(65536-SUM(AE50:AT50)),SUM(AE50:AT50))</f>
        <v>-27813</v>
      </c>
      <c r="AB50" s="1" t="n">
        <f aca="false">AB47+AB48</f>
        <v>-27813</v>
      </c>
      <c r="AC50" s="3"/>
      <c r="AE50" s="1" t="n">
        <f aca="false">POWER(2,G$2)*G50</f>
        <v>32768</v>
      </c>
      <c r="AF50" s="1" t="n">
        <f aca="false">POWER(2,H$2)*H50</f>
        <v>0</v>
      </c>
      <c r="AG50" s="1" t="n">
        <f aca="false">POWER(2,I$2)*I50</f>
        <v>0</v>
      </c>
      <c r="AH50" s="1" t="n">
        <f aca="false">POWER(2,J$2)*J50</f>
        <v>4096</v>
      </c>
      <c r="AI50" s="1" t="n">
        <f aca="false">POWER(2,L$2)*L50</f>
        <v>0</v>
      </c>
      <c r="AJ50" s="1" t="n">
        <f aca="false">POWER(2,M$2)*M50</f>
        <v>0</v>
      </c>
      <c r="AK50" s="1" t="n">
        <f aca="false">POWER(2,N$2)*N50</f>
        <v>512</v>
      </c>
      <c r="AL50" s="1" t="n">
        <f aca="false">POWER(2,O$2)*O50</f>
        <v>256</v>
      </c>
      <c r="AM50" s="1" t="n">
        <f aca="false">POWER(2,Q$2)*Q50</f>
        <v>0</v>
      </c>
      <c r="AN50" s="1" t="n">
        <f aca="false">POWER(2,R$2)*R50</f>
        <v>64</v>
      </c>
      <c r="AO50" s="1" t="n">
        <f aca="false">POWER(2,S$2)*S50</f>
        <v>0</v>
      </c>
      <c r="AP50" s="1" t="n">
        <f aca="false">POWER(2,T$2)*T50</f>
        <v>16</v>
      </c>
      <c r="AQ50" s="1" t="n">
        <f aca="false">POWER(2,V$2)*V50</f>
        <v>8</v>
      </c>
      <c r="AR50" s="1" t="n">
        <f aca="false">POWER(2,W$2)*W50</f>
        <v>0</v>
      </c>
      <c r="AS50" s="1" t="n">
        <f aca="false">POWER(2,X$2)*X50</f>
        <v>2</v>
      </c>
      <c r="AT50" s="1" t="n">
        <f aca="false">POWER(2,Y$2)*Y50</f>
        <v>1</v>
      </c>
    </row>
    <row r="52" customFormat="false" ht="12.8" hidden="false" customHeight="true" outlineLevel="0" collapsed="false">
      <c r="F52" s="1" t="s">
        <v>45</v>
      </c>
      <c r="G52" s="1" t="n">
        <f aca="false">IF(F46=G46,0,1)</f>
        <v>0</v>
      </c>
      <c r="I52" s="1" t="s">
        <v>46</v>
      </c>
      <c r="J52" s="1" t="n">
        <f aca="false">T46</f>
        <v>0</v>
      </c>
      <c r="M52" s="1" t="s">
        <v>47</v>
      </c>
      <c r="N52" s="1" t="n">
        <f aca="false">IF(MOD(SUM(Q50:Y50),2)=0,1,0)</f>
        <v>0</v>
      </c>
      <c r="Q52" s="1" t="s">
        <v>48</v>
      </c>
      <c r="R52" s="1" t="n">
        <f aca="false">G50</f>
        <v>1</v>
      </c>
      <c r="T52" s="1" t="s">
        <v>49</v>
      </c>
      <c r="V52" s="1" t="n">
        <f aca="false">IF(Z50=0,1,0)</f>
        <v>0</v>
      </c>
      <c r="X52" s="1" t="s">
        <v>50</v>
      </c>
      <c r="Y52" s="1" t="n">
        <f aca="false">F50</f>
        <v>1</v>
      </c>
    </row>
    <row r="54" customFormat="false" ht="12.8" hidden="false" customHeight="true" outlineLevel="0" collapsed="false">
      <c r="E54" s="1" t="s">
        <v>37</v>
      </c>
      <c r="F54" s="1" t="n">
        <f aca="false">IF(SUM(G54:G56)&gt;=2,1,0)</f>
        <v>1</v>
      </c>
      <c r="G54" s="1" t="n">
        <f aca="false">IF(SUM(H54:H56)&gt;=2,1,0)</f>
        <v>0</v>
      </c>
      <c r="H54" s="1" t="n">
        <f aca="false">IF(SUM(I54:I56)&gt;=2,1,0)</f>
        <v>0</v>
      </c>
      <c r="I54" s="1" t="n">
        <f aca="false">IF(SUM(J54:J56)&gt;=2,1,0)</f>
        <v>0</v>
      </c>
      <c r="J54" s="1" t="n">
        <f aca="false">IF(SUM(L54:L56)&gt;=2,1,0)</f>
        <v>0</v>
      </c>
      <c r="K54" s="1" t="s">
        <v>4</v>
      </c>
      <c r="L54" s="1" t="n">
        <f aca="false">IF(SUM(M54:M56)&gt;=2,1,0)</f>
        <v>0</v>
      </c>
      <c r="M54" s="1" t="n">
        <f aca="false">IF(SUM(N54:N56)&gt;=2,1,0)</f>
        <v>1</v>
      </c>
      <c r="N54" s="1" t="n">
        <f aca="false">IF(SUM(O54:O56)&gt;=2,1,0)</f>
        <v>1</v>
      </c>
      <c r="O54" s="1" t="n">
        <f aca="false">IF(SUM(Q54:Q56)&gt;=2,1,0)</f>
        <v>1</v>
      </c>
      <c r="P54" s="1" t="s">
        <v>4</v>
      </c>
      <c r="Q54" s="1" t="n">
        <f aca="false">IF(SUM(R54:R56)&gt;=2,1,0)</f>
        <v>1</v>
      </c>
      <c r="R54" s="1" t="n">
        <f aca="false">IF(SUM(S54:S56)&gt;=2,1,0)</f>
        <v>1</v>
      </c>
      <c r="S54" s="1" t="n">
        <f aca="false">IF(SUM(T54:T56)&gt;=2,1,0)</f>
        <v>1</v>
      </c>
      <c r="T54" s="1" t="n">
        <f aca="false">IF(SUM(V54:V56)&gt;=2,1,0)</f>
        <v>0</v>
      </c>
      <c r="U54" s="1" t="s">
        <v>4</v>
      </c>
      <c r="V54" s="1" t="n">
        <f aca="false">IF(SUM(W54:W56)&gt;=2,1,0)</f>
        <v>0</v>
      </c>
      <c r="W54" s="1" t="n">
        <f aca="false">IF(SUM(X54:X56)&gt;=2,1,0)</f>
        <v>1</v>
      </c>
      <c r="X54" s="1" t="n">
        <f aca="false">IF(SUM(Y54:Y56)&gt;=2,1,0)</f>
        <v>1</v>
      </c>
    </row>
    <row r="55" customFormat="false" ht="12.8" hidden="false" customHeight="true" outlineLevel="0" collapsed="false">
      <c r="E55" s="1" t="s">
        <v>60</v>
      </c>
      <c r="G55" s="1" t="n">
        <f aca="false">G11</f>
        <v>1</v>
      </c>
      <c r="H55" s="1" t="n">
        <f aca="false">H11</f>
        <v>0</v>
      </c>
      <c r="I55" s="1" t="n">
        <f aca="false">I11</f>
        <v>1</v>
      </c>
      <c r="J55" s="1" t="n">
        <f aca="false">J11</f>
        <v>0</v>
      </c>
      <c r="K55" s="1" t="s">
        <v>4</v>
      </c>
      <c r="L55" s="1" t="n">
        <f aca="false">L11</f>
        <v>1</v>
      </c>
      <c r="M55" s="1" t="n">
        <f aca="false">M11</f>
        <v>0</v>
      </c>
      <c r="N55" s="1" t="n">
        <f aca="false">N11</f>
        <v>0</v>
      </c>
      <c r="O55" s="1" t="n">
        <f aca="false">O11</f>
        <v>1</v>
      </c>
      <c r="P55" s="1" t="s">
        <v>4</v>
      </c>
      <c r="Q55" s="1" t="n">
        <f aca="false">Q11</f>
        <v>1</v>
      </c>
      <c r="R55" s="1" t="n">
        <f aca="false">R11</f>
        <v>0</v>
      </c>
      <c r="S55" s="1" t="n">
        <f aca="false">S11</f>
        <v>1</v>
      </c>
      <c r="T55" s="1" t="n">
        <f aca="false">T11</f>
        <v>1</v>
      </c>
      <c r="U55" s="1" t="s">
        <v>4</v>
      </c>
      <c r="V55" s="1" t="n">
        <f aca="false">V11</f>
        <v>0</v>
      </c>
      <c r="W55" s="1" t="n">
        <f aca="false">W11</f>
        <v>0</v>
      </c>
      <c r="X55" s="1" t="n">
        <f aca="false">X11</f>
        <v>1</v>
      </c>
      <c r="Y55" s="1" t="n">
        <f aca="false">Y11</f>
        <v>1</v>
      </c>
      <c r="AA55" s="1" t="s">
        <v>61</v>
      </c>
      <c r="AB55" s="1" t="n">
        <f aca="false">C11</f>
        <v>-22093</v>
      </c>
      <c r="AC55" s="3" t="str">
        <f aca="false">"При сложении "&amp;IF(AB55&lt;0,"отрицательного","положительного")&amp;" и "&amp;IF(AB56&lt;0,"отрицательного","положительного")&amp;" чисел получилось "&amp;IF(AB58&lt;0,"отрицательное","положительное")&amp;". "&amp;IF(Z58=AB58,"Результат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 так как вышли за пределы ОДЗ")</f>
        <v>При сложении отрицательного и отрицательного чисел получилось отрицательное. Результат операции неверный и не совпадает с суммой десятичных эквивалентов так как вышли за пределы ОДЗ</v>
      </c>
    </row>
    <row r="56" customFormat="false" ht="12.8" hidden="false" customHeight="true" outlineLevel="0" collapsed="false">
      <c r="E56" s="1" t="s">
        <v>27</v>
      </c>
      <c r="G56" s="1" t="n">
        <f aca="false">G12</f>
        <v>1</v>
      </c>
      <c r="H56" s="1" t="n">
        <f aca="false">H12</f>
        <v>0</v>
      </c>
      <c r="I56" s="1" t="n">
        <f aca="false">I12</f>
        <v>0</v>
      </c>
      <c r="J56" s="1" t="n">
        <f aca="false">J12</f>
        <v>1</v>
      </c>
      <c r="K56" s="1" t="s">
        <v>4</v>
      </c>
      <c r="L56" s="1" t="n">
        <f aca="false">L12</f>
        <v>0</v>
      </c>
      <c r="M56" s="1" t="n">
        <f aca="false">M12</f>
        <v>0</v>
      </c>
      <c r="N56" s="1" t="n">
        <f aca="false">N12</f>
        <v>1</v>
      </c>
      <c r="O56" s="1" t="n">
        <f aca="false">O12</f>
        <v>1</v>
      </c>
      <c r="P56" s="1" t="s">
        <v>4</v>
      </c>
      <c r="Q56" s="1" t="n">
        <f aca="false">Q12</f>
        <v>0</v>
      </c>
      <c r="R56" s="1" t="n">
        <f aca="false">R12</f>
        <v>1</v>
      </c>
      <c r="S56" s="1" t="n">
        <f aca="false">S12</f>
        <v>0</v>
      </c>
      <c r="T56" s="1" t="n">
        <f aca="false">T12</f>
        <v>1</v>
      </c>
      <c r="U56" s="1" t="s">
        <v>4</v>
      </c>
      <c r="V56" s="1" t="n">
        <f aca="false">V12</f>
        <v>1</v>
      </c>
      <c r="W56" s="1" t="n">
        <f aca="false">W12</f>
        <v>0</v>
      </c>
      <c r="X56" s="1" t="n">
        <f aca="false">X12</f>
        <v>1</v>
      </c>
      <c r="Y56" s="1" t="n">
        <f aca="false">Y12</f>
        <v>1</v>
      </c>
      <c r="AA56" s="1" t="s">
        <v>62</v>
      </c>
      <c r="AB56" s="1" t="n">
        <f aca="false">C12</f>
        <v>-27813</v>
      </c>
      <c r="AC56" s="3"/>
    </row>
    <row r="57" customFormat="false" ht="12.8" hidden="false" customHeight="true" outlineLevel="0" collapsed="false">
      <c r="G57" s="1" t="s">
        <v>41</v>
      </c>
      <c r="H57" s="1" t="s">
        <v>41</v>
      </c>
      <c r="I57" s="1" t="s">
        <v>41</v>
      </c>
      <c r="J57" s="1" t="s">
        <v>41</v>
      </c>
      <c r="K57" s="1" t="s">
        <v>4</v>
      </c>
      <c r="L57" s="1" t="s">
        <v>41</v>
      </c>
      <c r="M57" s="1" t="s">
        <v>41</v>
      </c>
      <c r="N57" s="1" t="s">
        <v>41</v>
      </c>
      <c r="O57" s="1" t="s">
        <v>41</v>
      </c>
      <c r="P57" s="1" t="s">
        <v>4</v>
      </c>
      <c r="Q57" s="1" t="s">
        <v>41</v>
      </c>
      <c r="R57" s="1" t="s">
        <v>41</v>
      </c>
      <c r="S57" s="1" t="s">
        <v>41</v>
      </c>
      <c r="T57" s="1" t="s">
        <v>41</v>
      </c>
      <c r="U57" s="1" t="s">
        <v>4</v>
      </c>
      <c r="V57" s="1" t="s">
        <v>41</v>
      </c>
      <c r="W57" s="1" t="s">
        <v>41</v>
      </c>
      <c r="X57" s="1" t="s">
        <v>41</v>
      </c>
      <c r="Y57" s="1" t="s">
        <v>41</v>
      </c>
      <c r="AB57" s="1" t="s">
        <v>63</v>
      </c>
      <c r="AC57" s="3"/>
    </row>
    <row r="58" customFormat="false" ht="12.8" hidden="false" customHeight="true" outlineLevel="0" collapsed="false">
      <c r="E58" s="1" t="s">
        <v>43</v>
      </c>
      <c r="F58" s="1" t="n">
        <f aca="false">MOD(SUM(F54:F56),2)</f>
        <v>1</v>
      </c>
      <c r="G58" s="1" t="n">
        <f aca="false">MOD(SUM(G54:G56),2)</f>
        <v>0</v>
      </c>
      <c r="H58" s="1" t="n">
        <f aca="false">MOD(SUM(H54:H56),2)</f>
        <v>0</v>
      </c>
      <c r="I58" s="1" t="n">
        <f aca="false">MOD(SUM(I54:I56),2)</f>
        <v>1</v>
      </c>
      <c r="J58" s="1" t="n">
        <f aca="false">MOD(SUM(J54:J56),2)</f>
        <v>1</v>
      </c>
      <c r="K58" s="1" t="s">
        <v>4</v>
      </c>
      <c r="L58" s="1" t="n">
        <f aca="false">MOD(SUM(L54:L56),2)</f>
        <v>1</v>
      </c>
      <c r="M58" s="1" t="n">
        <f aca="false">MOD(SUM(M54:M56),2)</f>
        <v>1</v>
      </c>
      <c r="N58" s="1" t="n">
        <f aca="false">MOD(SUM(N54:N56),2)</f>
        <v>0</v>
      </c>
      <c r="O58" s="1" t="n">
        <f aca="false">MOD(SUM(O54:O56),2)</f>
        <v>1</v>
      </c>
      <c r="P58" s="1" t="s">
        <v>4</v>
      </c>
      <c r="Q58" s="1" t="n">
        <f aca="false">MOD(SUM(Q54:Q56),2)</f>
        <v>0</v>
      </c>
      <c r="R58" s="1" t="n">
        <f aca="false">MOD(SUM(R54:R56),2)</f>
        <v>0</v>
      </c>
      <c r="S58" s="1" t="n">
        <f aca="false">MOD(SUM(S54:S56),2)</f>
        <v>0</v>
      </c>
      <c r="T58" s="1" t="n">
        <f aca="false">MOD(SUM(T54:T56),2)</f>
        <v>0</v>
      </c>
      <c r="U58" s="1" t="s">
        <v>4</v>
      </c>
      <c r="V58" s="1" t="n">
        <f aca="false">MOD(SUM(V54:V56),2)</f>
        <v>1</v>
      </c>
      <c r="W58" s="1" t="n">
        <f aca="false">MOD(SUM(W54:W56),2)</f>
        <v>1</v>
      </c>
      <c r="X58" s="1" t="n">
        <f aca="false">MOD(SUM(X54:X56),2)</f>
        <v>1</v>
      </c>
      <c r="Y58" s="1" t="n">
        <f aca="false">MOD(SUM(Y54:Y56),2)</f>
        <v>0</v>
      </c>
      <c r="Z58" s="1" t="n">
        <f aca="false">IF(G58=1,-(65536-SUM(AE58:AT58)),SUM(AE58:AT58))</f>
        <v>15630</v>
      </c>
      <c r="AB58" s="1" t="n">
        <f aca="false">AB55+AB56</f>
        <v>-49906</v>
      </c>
      <c r="AC58" s="3"/>
      <c r="AE58" s="1" t="n">
        <f aca="false">POWER(2,G$2)*G58</f>
        <v>0</v>
      </c>
      <c r="AF58" s="1" t="n">
        <f aca="false">POWER(2,H$2)*H58</f>
        <v>0</v>
      </c>
      <c r="AG58" s="1" t="n">
        <f aca="false">POWER(2,I$2)*I58</f>
        <v>8192</v>
      </c>
      <c r="AH58" s="1" t="n">
        <f aca="false">POWER(2,J$2)*J58</f>
        <v>4096</v>
      </c>
      <c r="AI58" s="1" t="n">
        <f aca="false">POWER(2,L$2)*L58</f>
        <v>2048</v>
      </c>
      <c r="AJ58" s="1" t="n">
        <f aca="false">POWER(2,M$2)*M58</f>
        <v>1024</v>
      </c>
      <c r="AK58" s="1" t="n">
        <f aca="false">POWER(2,N$2)*N58</f>
        <v>0</v>
      </c>
      <c r="AL58" s="1" t="n">
        <f aca="false">POWER(2,O$2)*O58</f>
        <v>256</v>
      </c>
      <c r="AM58" s="1" t="n">
        <f aca="false">POWER(2,Q$2)*Q58</f>
        <v>0</v>
      </c>
      <c r="AN58" s="1" t="n">
        <f aca="false">POWER(2,R$2)*R58</f>
        <v>0</v>
      </c>
      <c r="AO58" s="1" t="n">
        <f aca="false">POWER(2,S$2)*S58</f>
        <v>0</v>
      </c>
      <c r="AP58" s="1" t="n">
        <f aca="false">POWER(2,T$2)*T58</f>
        <v>0</v>
      </c>
      <c r="AQ58" s="1" t="n">
        <f aca="false">POWER(2,V$2)*V58</f>
        <v>8</v>
      </c>
      <c r="AR58" s="1" t="n">
        <f aca="false">POWER(2,W$2)*W58</f>
        <v>4</v>
      </c>
      <c r="AS58" s="1" t="n">
        <f aca="false">POWER(2,X$2)*X58</f>
        <v>2</v>
      </c>
      <c r="AT58" s="1" t="n">
        <f aca="false">POWER(2,Y$2)*Y58</f>
        <v>0</v>
      </c>
    </row>
    <row r="60" customFormat="false" ht="12.8" hidden="false" customHeight="true" outlineLevel="0" collapsed="false">
      <c r="F60" s="1" t="s">
        <v>45</v>
      </c>
      <c r="G60" s="1" t="n">
        <f aca="false">IF(F54=G54,0,1)</f>
        <v>1</v>
      </c>
      <c r="I60" s="1" t="s">
        <v>46</v>
      </c>
      <c r="J60" s="1" t="n">
        <f aca="false">T54</f>
        <v>0</v>
      </c>
      <c r="M60" s="1" t="s">
        <v>47</v>
      </c>
      <c r="N60" s="1" t="n">
        <f aca="false">IF(MOD(SUM(Q58:Y58),2)=0,1,0)</f>
        <v>0</v>
      </c>
      <c r="Q60" s="1" t="s">
        <v>48</v>
      </c>
      <c r="R60" s="1" t="n">
        <f aca="false">G58</f>
        <v>0</v>
      </c>
      <c r="T60" s="1" t="s">
        <v>49</v>
      </c>
      <c r="V60" s="1" t="n">
        <f aca="false">IF(Z58=0,1,0)</f>
        <v>0</v>
      </c>
      <c r="X60" s="1" t="s">
        <v>50</v>
      </c>
      <c r="Y60" s="1" t="n">
        <f aca="false">F58</f>
        <v>1</v>
      </c>
    </row>
    <row r="62" customFormat="false" ht="12.8" hidden="false" customHeight="true" outlineLevel="0" collapsed="false">
      <c r="E62" s="1" t="s">
        <v>37</v>
      </c>
      <c r="F62" s="1" t="n">
        <f aca="false">IF(SUM(G62:G64)&gt;=2,1,0)</f>
        <v>0</v>
      </c>
      <c r="G62" s="1" t="n">
        <f aca="false">IF(SUM(H62:H64)&gt;=2,1,0)</f>
        <v>0</v>
      </c>
      <c r="H62" s="1" t="n">
        <f aca="false">IF(SUM(I62:I64)&gt;=2,1,0)</f>
        <v>1</v>
      </c>
      <c r="I62" s="1" t="n">
        <f aca="false">IF(SUM(J62:J64)&gt;=2,1,0)</f>
        <v>1</v>
      </c>
      <c r="J62" s="1" t="n">
        <f aca="false">IF(SUM(L62:L64)&gt;=2,1,0)</f>
        <v>1</v>
      </c>
      <c r="K62" s="1" t="s">
        <v>4</v>
      </c>
      <c r="L62" s="1" t="n">
        <f aca="false">IF(SUM(M62:M64)&gt;=2,1,0)</f>
        <v>1</v>
      </c>
      <c r="M62" s="1" t="n">
        <f aca="false">IF(SUM(N62:N64)&gt;=2,1,0)</f>
        <v>1</v>
      </c>
      <c r="N62" s="1" t="n">
        <f aca="false">IF(SUM(O62:O64)&gt;=2,1,0)</f>
        <v>1</v>
      </c>
      <c r="O62" s="1" t="n">
        <f aca="false">IF(SUM(Q62:Q64)&gt;=2,1,0)</f>
        <v>1</v>
      </c>
      <c r="P62" s="1" t="s">
        <v>4</v>
      </c>
      <c r="Q62" s="1" t="n">
        <f aca="false">IF(SUM(R62:R64)&gt;=2,1,0)</f>
        <v>1</v>
      </c>
      <c r="R62" s="1" t="n">
        <f aca="false">IF(SUM(S62:S64)&gt;=2,1,0)</f>
        <v>1</v>
      </c>
      <c r="S62" s="1" t="n">
        <f aca="false">IF(SUM(T62:T64)&gt;=2,1,0)</f>
        <v>1</v>
      </c>
      <c r="T62" s="1" t="n">
        <f aca="false">IF(SUM(V62:V64)&gt;=2,1,0)</f>
        <v>0</v>
      </c>
      <c r="U62" s="1" t="s">
        <v>4</v>
      </c>
      <c r="V62" s="1" t="n">
        <f aca="false">IF(SUM(W62:W64)&gt;=2,1,0)</f>
        <v>0</v>
      </c>
      <c r="W62" s="1" t="n">
        <f aca="false">IF(SUM(X62:X64)&gt;=2,1,0)</f>
        <v>0</v>
      </c>
      <c r="X62" s="1" t="n">
        <f aca="false">IF(SUM(Y62:Y64)&gt;=2,1,0)</f>
        <v>0</v>
      </c>
      <c r="Y62" s="1" t="n">
        <f aca="false">IF(SUM(AE62:AE64)&gt;=2,1,0)</f>
        <v>0</v>
      </c>
    </row>
    <row r="63" customFormat="false" ht="12.8" hidden="false" customHeight="true" outlineLevel="0" collapsed="false">
      <c r="E63" s="1" t="s">
        <v>38</v>
      </c>
      <c r="G63" s="1" t="n">
        <f aca="false">G4</f>
        <v>0</v>
      </c>
      <c r="H63" s="1" t="n">
        <f aca="false">H4</f>
        <v>0</v>
      </c>
      <c r="I63" s="1" t="n">
        <f aca="false">I4</f>
        <v>0</v>
      </c>
      <c r="J63" s="1" t="n">
        <f aca="false">J4</f>
        <v>1</v>
      </c>
      <c r="K63" s="1" t="s">
        <v>4</v>
      </c>
      <c r="L63" s="1" t="n">
        <f aca="false">L4</f>
        <v>0</v>
      </c>
      <c r="M63" s="1" t="n">
        <f aca="false">M4</f>
        <v>1</v>
      </c>
      <c r="N63" s="1" t="n">
        <f aca="false">N4</f>
        <v>1</v>
      </c>
      <c r="O63" s="1" t="n">
        <f aca="false">O4</f>
        <v>0</v>
      </c>
      <c r="P63" s="1" t="s">
        <v>4</v>
      </c>
      <c r="Q63" s="1" t="n">
        <f aca="false">Q4</f>
        <v>0</v>
      </c>
      <c r="R63" s="1" t="n">
        <f aca="false">R4</f>
        <v>1</v>
      </c>
      <c r="S63" s="1" t="n">
        <f aca="false">S4</f>
        <v>0</v>
      </c>
      <c r="T63" s="1" t="n">
        <f aca="false">T4</f>
        <v>1</v>
      </c>
      <c r="U63" s="1" t="s">
        <v>4</v>
      </c>
      <c r="V63" s="1" t="n">
        <f aca="false">V4</f>
        <v>1</v>
      </c>
      <c r="W63" s="1" t="n">
        <f aca="false">W4</f>
        <v>0</v>
      </c>
      <c r="X63" s="1" t="n">
        <f aca="false">X4</f>
        <v>0</v>
      </c>
      <c r="Y63" s="1" t="n">
        <f aca="false">Y4</f>
        <v>0</v>
      </c>
      <c r="AA63" s="1" t="s">
        <v>39</v>
      </c>
      <c r="AB63" s="1" t="n">
        <f aca="false">C4</f>
        <v>5720</v>
      </c>
      <c r="AC63" s="3" t="str">
        <f aca="false">"При сложении "&amp;IF(AB63&lt;0,"отрицательного","положительного")&amp;" и "&amp;IF(AB64&lt;0,"отрицательного","положительного")&amp;" чисел получилось "&amp;IF(AB66&lt;0,"отрицательное","положительное")&amp;". "&amp;IF(Z66=AB66,"Результат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 так как вышли за пределы ОДЗ")</f>
        <v>При сложении положительного и отрицательного чисел получилось отрицательное. Результат выполнения операций верный и корректный, совпадает с суммой десятичных эквивалентов</v>
      </c>
    </row>
    <row r="64" customFormat="false" ht="12.8" hidden="false" customHeight="true" outlineLevel="0" collapsed="false">
      <c r="E64" s="1" t="s">
        <v>24</v>
      </c>
      <c r="G64" s="1" t="n">
        <f aca="false">G11</f>
        <v>1</v>
      </c>
      <c r="H64" s="1" t="n">
        <f aca="false">H11</f>
        <v>0</v>
      </c>
      <c r="I64" s="1" t="n">
        <f aca="false">I11</f>
        <v>1</v>
      </c>
      <c r="J64" s="1" t="n">
        <f aca="false">J11</f>
        <v>0</v>
      </c>
      <c r="K64" s="1" t="s">
        <v>4</v>
      </c>
      <c r="L64" s="1" t="n">
        <f aca="false">L11</f>
        <v>1</v>
      </c>
      <c r="M64" s="1" t="n">
        <f aca="false">M11</f>
        <v>0</v>
      </c>
      <c r="N64" s="1" t="n">
        <f aca="false">N11</f>
        <v>0</v>
      </c>
      <c r="O64" s="1" t="n">
        <f aca="false">O11</f>
        <v>1</v>
      </c>
      <c r="P64" s="1" t="s">
        <v>4</v>
      </c>
      <c r="Q64" s="1" t="n">
        <f aca="false">Q11</f>
        <v>1</v>
      </c>
      <c r="R64" s="1" t="n">
        <f aca="false">R11</f>
        <v>0</v>
      </c>
      <c r="S64" s="1" t="n">
        <f aca="false">S11</f>
        <v>1</v>
      </c>
      <c r="T64" s="1" t="n">
        <f aca="false">T11</f>
        <v>1</v>
      </c>
      <c r="U64" s="1" t="s">
        <v>4</v>
      </c>
      <c r="V64" s="1" t="n">
        <f aca="false">V11</f>
        <v>0</v>
      </c>
      <c r="W64" s="1" t="n">
        <f aca="false">W11</f>
        <v>0</v>
      </c>
      <c r="X64" s="1" t="n">
        <f aca="false">X11</f>
        <v>1</v>
      </c>
      <c r="Y64" s="1" t="n">
        <f aca="false">Y11</f>
        <v>1</v>
      </c>
      <c r="AA64" s="1" t="s">
        <v>59</v>
      </c>
      <c r="AB64" s="1" t="n">
        <f aca="false">C11</f>
        <v>-22093</v>
      </c>
      <c r="AC64" s="3"/>
    </row>
    <row r="65" customFormat="false" ht="12.8" hidden="false" customHeight="true" outlineLevel="0" collapsed="false">
      <c r="G65" s="1" t="s">
        <v>41</v>
      </c>
      <c r="H65" s="1" t="s">
        <v>41</v>
      </c>
      <c r="I65" s="1" t="s">
        <v>41</v>
      </c>
      <c r="J65" s="1" t="s">
        <v>41</v>
      </c>
      <c r="K65" s="1" t="s">
        <v>4</v>
      </c>
      <c r="L65" s="1" t="s">
        <v>41</v>
      </c>
      <c r="M65" s="1" t="s">
        <v>41</v>
      </c>
      <c r="N65" s="1" t="s">
        <v>41</v>
      </c>
      <c r="O65" s="1" t="s">
        <v>41</v>
      </c>
      <c r="P65" s="1" t="s">
        <v>4</v>
      </c>
      <c r="Q65" s="1" t="s">
        <v>41</v>
      </c>
      <c r="R65" s="1" t="s">
        <v>41</v>
      </c>
      <c r="S65" s="1" t="s">
        <v>41</v>
      </c>
      <c r="T65" s="1" t="s">
        <v>41</v>
      </c>
      <c r="U65" s="1" t="s">
        <v>4</v>
      </c>
      <c r="V65" s="1" t="s">
        <v>41</v>
      </c>
      <c r="W65" s="1" t="s">
        <v>41</v>
      </c>
      <c r="X65" s="1" t="s">
        <v>41</v>
      </c>
      <c r="Y65" s="1" t="s">
        <v>41</v>
      </c>
      <c r="AB65" s="1" t="s">
        <v>64</v>
      </c>
      <c r="AC65" s="3"/>
    </row>
    <row r="66" customFormat="false" ht="12.8" hidden="false" customHeight="true" outlineLevel="0" collapsed="false">
      <c r="E66" s="1" t="s">
        <v>43</v>
      </c>
      <c r="F66" s="1" t="n">
        <f aca="false">MOD(SUM(F62:F64),2)</f>
        <v>0</v>
      </c>
      <c r="G66" s="1" t="n">
        <f aca="false">MOD(SUM(G62:G64),2)</f>
        <v>1</v>
      </c>
      <c r="H66" s="1" t="n">
        <f aca="false">MOD(SUM(H62:H64),2)</f>
        <v>1</v>
      </c>
      <c r="I66" s="1" t="n">
        <f aca="false">MOD(SUM(I62:I64),2)</f>
        <v>0</v>
      </c>
      <c r="J66" s="1" t="n">
        <f aca="false">MOD(SUM(J62:J64),2)</f>
        <v>0</v>
      </c>
      <c r="K66" s="1" t="s">
        <v>4</v>
      </c>
      <c r="L66" s="1" t="n">
        <f aca="false">MOD(SUM(L62:L64),2)</f>
        <v>0</v>
      </c>
      <c r="M66" s="1" t="n">
        <f aca="false">MOD(SUM(M62:M64),2)</f>
        <v>0</v>
      </c>
      <c r="N66" s="1" t="n">
        <f aca="false">MOD(SUM(N62:N64),2)</f>
        <v>0</v>
      </c>
      <c r="O66" s="1" t="n">
        <f aca="false">MOD(SUM(O62:O64),2)</f>
        <v>0</v>
      </c>
      <c r="P66" s="1" t="s">
        <v>4</v>
      </c>
      <c r="Q66" s="1" t="n">
        <f aca="false">MOD(SUM(Q62:Q64),2)</f>
        <v>0</v>
      </c>
      <c r="R66" s="1" t="n">
        <f aca="false">MOD(SUM(R62:R64),2)</f>
        <v>0</v>
      </c>
      <c r="S66" s="1" t="n">
        <f aca="false">MOD(SUM(S62:S64),2)</f>
        <v>0</v>
      </c>
      <c r="T66" s="1" t="n">
        <f aca="false">MOD(SUM(T62:T64),2)</f>
        <v>0</v>
      </c>
      <c r="U66" s="1" t="s">
        <v>4</v>
      </c>
      <c r="V66" s="1" t="n">
        <f aca="false">MOD(SUM(V62:V64),2)</f>
        <v>1</v>
      </c>
      <c r="W66" s="1" t="n">
        <f aca="false">MOD(SUM(W62:W64),2)</f>
        <v>0</v>
      </c>
      <c r="X66" s="1" t="n">
        <f aca="false">MOD(SUM(X62:X64),2)</f>
        <v>1</v>
      </c>
      <c r="Y66" s="1" t="n">
        <f aca="false">MOD(SUM(Y62:Y64),2)</f>
        <v>1</v>
      </c>
      <c r="Z66" s="1" t="n">
        <f aca="false">IF(G66=1,-(65536-SUM(AE66:AT66)),SUM(AE66:AT66))</f>
        <v>-16373</v>
      </c>
      <c r="AB66" s="1" t="n">
        <f aca="false">AB63+AB64</f>
        <v>-16373</v>
      </c>
      <c r="AC66" s="3"/>
      <c r="AE66" s="1" t="n">
        <f aca="false">POWER(2,G$2)*G66</f>
        <v>32768</v>
      </c>
      <c r="AF66" s="1" t="n">
        <f aca="false">POWER(2,H$2)*H66</f>
        <v>16384</v>
      </c>
      <c r="AG66" s="1" t="n">
        <f aca="false">POWER(2,I$2)*I66</f>
        <v>0</v>
      </c>
      <c r="AH66" s="1" t="n">
        <f aca="false">POWER(2,J$2)*J66</f>
        <v>0</v>
      </c>
      <c r="AI66" s="1" t="n">
        <f aca="false">POWER(2,L$2)*L66</f>
        <v>0</v>
      </c>
      <c r="AJ66" s="1" t="n">
        <f aca="false">POWER(2,M$2)*M66</f>
        <v>0</v>
      </c>
      <c r="AK66" s="1" t="n">
        <f aca="false">POWER(2,N$2)*N66</f>
        <v>0</v>
      </c>
      <c r="AL66" s="1" t="n">
        <f aca="false">POWER(2,O$2)*O66</f>
        <v>0</v>
      </c>
      <c r="AM66" s="1" t="n">
        <f aca="false">POWER(2,Q$2)*Q66</f>
        <v>0</v>
      </c>
      <c r="AN66" s="1" t="n">
        <f aca="false">POWER(2,R$2)*R66</f>
        <v>0</v>
      </c>
      <c r="AO66" s="1" t="n">
        <f aca="false">POWER(2,S$2)*S66</f>
        <v>0</v>
      </c>
      <c r="AP66" s="1" t="n">
        <f aca="false">POWER(2,T$2)*T66</f>
        <v>0</v>
      </c>
      <c r="AQ66" s="1" t="n">
        <f aca="false">POWER(2,V$2)*V66</f>
        <v>8</v>
      </c>
      <c r="AR66" s="1" t="n">
        <f aca="false">POWER(2,W$2)*W66</f>
        <v>0</v>
      </c>
      <c r="AS66" s="1" t="n">
        <f aca="false">POWER(2,X$2)*X66</f>
        <v>2</v>
      </c>
      <c r="AT66" s="1" t="n">
        <f aca="false">POWER(2,Y$2)*Y66</f>
        <v>1</v>
      </c>
    </row>
    <row r="68" customFormat="false" ht="12.8" hidden="false" customHeight="true" outlineLevel="0" collapsed="false">
      <c r="F68" s="1" t="s">
        <v>45</v>
      </c>
      <c r="G68" s="1" t="n">
        <f aca="false">IF(F62=G62,0,1)</f>
        <v>0</v>
      </c>
      <c r="I68" s="1" t="s">
        <v>46</v>
      </c>
      <c r="J68" s="1" t="n">
        <f aca="false">T62</f>
        <v>0</v>
      </c>
      <c r="M68" s="1" t="s">
        <v>47</v>
      </c>
      <c r="N68" s="1" t="n">
        <f aca="false">IF(MOD(SUM(Q66:Y66),2)=0,1,0)</f>
        <v>0</v>
      </c>
      <c r="Q68" s="1" t="s">
        <v>48</v>
      </c>
      <c r="R68" s="1" t="n">
        <f aca="false">G66</f>
        <v>1</v>
      </c>
      <c r="T68" s="1" t="s">
        <v>49</v>
      </c>
      <c r="V68" s="1" t="n">
        <f aca="false">IF(Z66=0,1,0)</f>
        <v>0</v>
      </c>
      <c r="X68" s="1" t="s">
        <v>50</v>
      </c>
      <c r="Y68" s="1" t="n">
        <f aca="false">F66</f>
        <v>0</v>
      </c>
    </row>
    <row r="70" customFormat="false" ht="12.8" hidden="false" customHeight="true" outlineLevel="0" collapsed="false">
      <c r="E70" s="1" t="s">
        <v>37</v>
      </c>
      <c r="F70" s="1" t="n">
        <f aca="false">IF(SUM(G70:G72)&gt;=2,1,0)</f>
        <v>1</v>
      </c>
      <c r="G70" s="1" t="n">
        <f aca="false">IF(SUM(H70:H72)&gt;=2,1,0)</f>
        <v>1</v>
      </c>
      <c r="H70" s="1" t="n">
        <f aca="false">IF(SUM(I70:I72)&gt;=2,1,0)</f>
        <v>0</v>
      </c>
      <c r="I70" s="1" t="n">
        <f aca="false">IF(SUM(J70:J72)&gt;=2,1,0)</f>
        <v>0</v>
      </c>
      <c r="J70" s="1" t="n">
        <f aca="false">IF(SUM(L70:L72)&gt;=2,1,0)</f>
        <v>0</v>
      </c>
      <c r="K70" s="1" t="s">
        <v>4</v>
      </c>
      <c r="L70" s="1" t="n">
        <f aca="false">IF(SUM(M70:M72)&gt;=2,1,0)</f>
        <v>0</v>
      </c>
      <c r="M70" s="1" t="n">
        <f aca="false">IF(SUM(N70:N72)&gt;=2,1,0)</f>
        <v>0</v>
      </c>
      <c r="N70" s="1" t="n">
        <f aca="false">IF(SUM(O70:O72)&gt;=2,1,0)</f>
        <v>0</v>
      </c>
      <c r="O70" s="1" t="n">
        <f aca="false">IF(SUM(Q70:Q72)&gt;=2,1,0)</f>
        <v>0</v>
      </c>
      <c r="P70" s="1" t="s">
        <v>4</v>
      </c>
      <c r="Q70" s="1" t="n">
        <f aca="false">IF(SUM(R70:R72)&gt;=2,1,0)</f>
        <v>0</v>
      </c>
      <c r="R70" s="1" t="n">
        <f aca="false">IF(SUM(S70:S72)&gt;=2,1,0)</f>
        <v>0</v>
      </c>
      <c r="S70" s="1" t="n">
        <f aca="false">IF(SUM(T70:T72)&gt;=2,1,0)</f>
        <v>0</v>
      </c>
      <c r="T70" s="1" t="n">
        <f aca="false">IF(SUM(V70:V72)&gt;=2,1,0)</f>
        <v>1</v>
      </c>
      <c r="U70" s="1" t="s">
        <v>4</v>
      </c>
      <c r="V70" s="1" t="n">
        <f aca="false">IF(SUM(W70:W72)&gt;=2,1,0)</f>
        <v>1</v>
      </c>
      <c r="W70" s="1" t="n">
        <f aca="false">IF(SUM(X70:X72)&gt;=2,1,0)</f>
        <v>1</v>
      </c>
      <c r="X70" s="1" t="n">
        <f aca="false">IF(SUM(Y70:Y72)&gt;=2,1,0)</f>
        <v>1</v>
      </c>
      <c r="Y70" s="1" t="n">
        <f aca="false">IF(SUM(AE70:AE72)&gt;=2,1,0)</f>
        <v>0</v>
      </c>
    </row>
    <row r="71" customFormat="false" ht="12.8" hidden="false" customHeight="true" outlineLevel="0" collapsed="false">
      <c r="E71" s="1" t="s">
        <v>65</v>
      </c>
      <c r="G71" s="1" t="n">
        <f aca="false">G14</f>
        <v>1</v>
      </c>
      <c r="H71" s="1" t="n">
        <f aca="false">H14</f>
        <v>1</v>
      </c>
      <c r="I71" s="1" t="n">
        <f aca="false">I14</f>
        <v>0</v>
      </c>
      <c r="J71" s="1" t="n">
        <f aca="false">J14</f>
        <v>0</v>
      </c>
      <c r="K71" s="1" t="s">
        <v>4</v>
      </c>
      <c r="L71" s="1" t="n">
        <f aca="false">L14</f>
        <v>0</v>
      </c>
      <c r="M71" s="1" t="n">
        <f aca="false">M14</f>
        <v>0</v>
      </c>
      <c r="N71" s="1" t="n">
        <f aca="false">N14</f>
        <v>0</v>
      </c>
      <c r="O71" s="1" t="n">
        <f aca="false">O14</f>
        <v>0</v>
      </c>
      <c r="P71" s="1" t="s">
        <v>4</v>
      </c>
      <c r="Q71" s="1" t="n">
        <f aca="false">Q14</f>
        <v>0</v>
      </c>
      <c r="R71" s="1" t="n">
        <f aca="false">R14</f>
        <v>0</v>
      </c>
      <c r="S71" s="1" t="n">
        <f aca="false">S14</f>
        <v>0</v>
      </c>
      <c r="T71" s="1" t="n">
        <f aca="false">T14</f>
        <v>0</v>
      </c>
      <c r="U71" s="1" t="s">
        <v>4</v>
      </c>
      <c r="V71" s="1" t="n">
        <f aca="false">V14</f>
        <v>1</v>
      </c>
      <c r="W71" s="1" t="n">
        <f aca="false">W14</f>
        <v>0</v>
      </c>
      <c r="X71" s="1" t="n">
        <f aca="false">X14</f>
        <v>1</v>
      </c>
      <c r="Y71" s="1" t="n">
        <f aca="false">Y14</f>
        <v>1</v>
      </c>
      <c r="AA71" s="1" t="s">
        <v>66</v>
      </c>
      <c r="AB71" s="1" t="n">
        <f aca="false">C14</f>
        <v>-16373</v>
      </c>
      <c r="AC71" s="3" t="str">
        <f aca="false">"При сложении "&amp;IF(AB71&lt;0,"отрицательного","положительного")&amp;" и "&amp;IF(AB72&lt;0,"отрицательного","положительного")&amp;" чисел получилось "&amp;IF(AB74&lt;0,"отрицательное","положительное")&amp;". "&amp;IF(Z74=AB74,"Результат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 так как вышли за пределы ОДЗ")</f>
        <v>При сложении отрицательного и положительного чисел получилось положительное. Результат выполнения операций верный и корректный, совпадает с суммой десятичных эквивалентов</v>
      </c>
    </row>
    <row r="72" customFormat="false" ht="12.8" hidden="false" customHeight="true" outlineLevel="0" collapsed="false">
      <c r="E72" s="1" t="s">
        <v>9</v>
      </c>
      <c r="G72" s="1" t="n">
        <f aca="false">G6</f>
        <v>0</v>
      </c>
      <c r="H72" s="1" t="n">
        <f aca="false">H6</f>
        <v>1</v>
      </c>
      <c r="I72" s="1" t="n">
        <f aca="false">I6</f>
        <v>1</v>
      </c>
      <c r="J72" s="1" t="n">
        <f aca="false">J6</f>
        <v>0</v>
      </c>
      <c r="K72" s="1" t="s">
        <v>4</v>
      </c>
      <c r="L72" s="1" t="n">
        <f aca="false">L6</f>
        <v>1</v>
      </c>
      <c r="M72" s="1" t="n">
        <f aca="false">M6</f>
        <v>1</v>
      </c>
      <c r="N72" s="1" t="n">
        <f aca="false">N6</f>
        <v>0</v>
      </c>
      <c r="O72" s="1" t="n">
        <f aca="false">O6</f>
        <v>0</v>
      </c>
      <c r="P72" s="1" t="s">
        <v>4</v>
      </c>
      <c r="Q72" s="1" t="n">
        <f aca="false">Q6</f>
        <v>1</v>
      </c>
      <c r="R72" s="1" t="n">
        <f aca="false">R6</f>
        <v>0</v>
      </c>
      <c r="S72" s="1" t="n">
        <f aca="false">S6</f>
        <v>1</v>
      </c>
      <c r="T72" s="1" t="n">
        <f aca="false">T6</f>
        <v>0</v>
      </c>
      <c r="U72" s="1" t="s">
        <v>4</v>
      </c>
      <c r="V72" s="1" t="n">
        <f aca="false">V6</f>
        <v>0</v>
      </c>
      <c r="W72" s="1" t="n">
        <f aca="false">W6</f>
        <v>1</v>
      </c>
      <c r="X72" s="1" t="n">
        <f aca="false">X6</f>
        <v>0</v>
      </c>
      <c r="Y72" s="1" t="n">
        <f aca="false">Y6</f>
        <v>1</v>
      </c>
      <c r="AA72" s="1" t="s">
        <v>7</v>
      </c>
      <c r="AB72" s="1" t="n">
        <f aca="false">C6</f>
        <v>27813</v>
      </c>
      <c r="AC72" s="3"/>
    </row>
    <row r="73" customFormat="false" ht="12.8" hidden="false" customHeight="true" outlineLevel="0" collapsed="false">
      <c r="G73" s="1" t="s">
        <v>41</v>
      </c>
      <c r="H73" s="1" t="s">
        <v>41</v>
      </c>
      <c r="I73" s="1" t="s">
        <v>41</v>
      </c>
      <c r="J73" s="1" t="s">
        <v>41</v>
      </c>
      <c r="K73" s="1" t="s">
        <v>4</v>
      </c>
      <c r="L73" s="1" t="s">
        <v>41</v>
      </c>
      <c r="M73" s="1" t="s">
        <v>41</v>
      </c>
      <c r="N73" s="1" t="s">
        <v>41</v>
      </c>
      <c r="O73" s="1" t="s">
        <v>41</v>
      </c>
      <c r="P73" s="1" t="s">
        <v>4</v>
      </c>
      <c r="Q73" s="1" t="s">
        <v>41</v>
      </c>
      <c r="R73" s="1" t="s">
        <v>41</v>
      </c>
      <c r="S73" s="1" t="s">
        <v>41</v>
      </c>
      <c r="T73" s="1" t="s">
        <v>41</v>
      </c>
      <c r="U73" s="1" t="s">
        <v>4</v>
      </c>
      <c r="V73" s="1" t="s">
        <v>41</v>
      </c>
      <c r="W73" s="1" t="s">
        <v>41</v>
      </c>
      <c r="X73" s="1" t="s">
        <v>41</v>
      </c>
      <c r="Y73" s="1" t="s">
        <v>41</v>
      </c>
      <c r="AB73" s="1" t="s">
        <v>67</v>
      </c>
      <c r="AC73" s="3"/>
    </row>
    <row r="74" customFormat="false" ht="12.8" hidden="false" customHeight="true" outlineLevel="0" collapsed="false">
      <c r="E74" s="1" t="s">
        <v>43</v>
      </c>
      <c r="F74" s="1" t="n">
        <f aca="false">MOD(SUM(F70:F72),2)</f>
        <v>1</v>
      </c>
      <c r="G74" s="1" t="n">
        <f aca="false">MOD(SUM(G70:G72),2)</f>
        <v>0</v>
      </c>
      <c r="H74" s="1" t="n">
        <f aca="false">MOD(SUM(H70:H72),2)</f>
        <v>0</v>
      </c>
      <c r="I74" s="1" t="n">
        <f aca="false">MOD(SUM(I70:I72),2)</f>
        <v>1</v>
      </c>
      <c r="J74" s="1" t="n">
        <f aca="false">MOD(SUM(J70:J72),2)</f>
        <v>0</v>
      </c>
      <c r="K74" s="1" t="s">
        <v>4</v>
      </c>
      <c r="L74" s="1" t="n">
        <f aca="false">MOD(SUM(L70:L72),2)</f>
        <v>1</v>
      </c>
      <c r="M74" s="1" t="n">
        <f aca="false">MOD(SUM(M70:M72),2)</f>
        <v>1</v>
      </c>
      <c r="N74" s="1" t="n">
        <f aca="false">MOD(SUM(N70:N72),2)</f>
        <v>0</v>
      </c>
      <c r="O74" s="1" t="n">
        <f aca="false">MOD(SUM(O70:O72),2)</f>
        <v>0</v>
      </c>
      <c r="P74" s="1" t="s">
        <v>4</v>
      </c>
      <c r="Q74" s="1" t="n">
        <f aca="false">MOD(SUM(Q70:Q72),2)</f>
        <v>1</v>
      </c>
      <c r="R74" s="1" t="n">
        <f aca="false">MOD(SUM(R70:R72),2)</f>
        <v>0</v>
      </c>
      <c r="S74" s="1" t="n">
        <f aca="false">MOD(SUM(S70:S72),2)</f>
        <v>1</v>
      </c>
      <c r="T74" s="1" t="n">
        <f aca="false">MOD(SUM(T70:T72),2)</f>
        <v>1</v>
      </c>
      <c r="U74" s="1" t="s">
        <v>4</v>
      </c>
      <c r="V74" s="1" t="n">
        <f aca="false">MOD(SUM(V70:V72),2)</f>
        <v>0</v>
      </c>
      <c r="W74" s="1" t="n">
        <f aca="false">MOD(SUM(W70:W72),2)</f>
        <v>0</v>
      </c>
      <c r="X74" s="1" t="n">
        <f aca="false">MOD(SUM(X70:X72),2)</f>
        <v>0</v>
      </c>
      <c r="Y74" s="1" t="n">
        <f aca="false">MOD(SUM(Y70:Y72),2)</f>
        <v>0</v>
      </c>
      <c r="Z74" s="1" t="n">
        <f aca="false">IF(G74=1,-(65536-SUM(AE74:AT74)),SUM(AE74:AT74))</f>
        <v>11440</v>
      </c>
      <c r="AB74" s="1" t="n">
        <f aca="false">AB71+AB72</f>
        <v>11440</v>
      </c>
      <c r="AC74" s="3"/>
      <c r="AE74" s="1" t="n">
        <f aca="false">POWER(2,G$2)*G74</f>
        <v>0</v>
      </c>
      <c r="AF74" s="1" t="n">
        <f aca="false">POWER(2,H$2)*H74</f>
        <v>0</v>
      </c>
      <c r="AG74" s="1" t="n">
        <f aca="false">POWER(2,I$2)*I74</f>
        <v>8192</v>
      </c>
      <c r="AH74" s="1" t="n">
        <f aca="false">POWER(2,J$2)*J74</f>
        <v>0</v>
      </c>
      <c r="AI74" s="1" t="n">
        <f aca="false">POWER(2,L$2)*L74</f>
        <v>2048</v>
      </c>
      <c r="AJ74" s="1" t="n">
        <f aca="false">POWER(2,M$2)*M74</f>
        <v>1024</v>
      </c>
      <c r="AK74" s="1" t="n">
        <f aca="false">POWER(2,N$2)*N74</f>
        <v>0</v>
      </c>
      <c r="AL74" s="1" t="n">
        <f aca="false">POWER(2,O$2)*O74</f>
        <v>0</v>
      </c>
      <c r="AM74" s="1" t="n">
        <f aca="false">POWER(2,Q$2)*Q74</f>
        <v>128</v>
      </c>
      <c r="AN74" s="1" t="n">
        <f aca="false">POWER(2,R$2)*R74</f>
        <v>0</v>
      </c>
      <c r="AO74" s="1" t="n">
        <f aca="false">POWER(2,S$2)*S74</f>
        <v>32</v>
      </c>
      <c r="AP74" s="1" t="n">
        <f aca="false">POWER(2,T$2)*T74</f>
        <v>16</v>
      </c>
      <c r="AQ74" s="1" t="n">
        <f aca="false">POWER(2,V$2)*V74</f>
        <v>0</v>
      </c>
      <c r="AR74" s="1" t="n">
        <f aca="false">POWER(2,W$2)*W74</f>
        <v>0</v>
      </c>
      <c r="AS74" s="1" t="n">
        <f aca="false">POWER(2,X$2)*X74</f>
        <v>0</v>
      </c>
      <c r="AT74" s="1" t="n">
        <f aca="false">POWER(2,Y$2)*Y74</f>
        <v>0</v>
      </c>
    </row>
    <row r="76" customFormat="false" ht="12.8" hidden="false" customHeight="true" outlineLevel="0" collapsed="false">
      <c r="F76" s="1" t="s">
        <v>45</v>
      </c>
      <c r="G76" s="1" t="n">
        <f aca="false">IF(F70=G70,0,1)</f>
        <v>0</v>
      </c>
      <c r="I76" s="1" t="s">
        <v>46</v>
      </c>
      <c r="J76" s="1" t="n">
        <f aca="false">T70</f>
        <v>1</v>
      </c>
      <c r="M76" s="1" t="s">
        <v>47</v>
      </c>
      <c r="N76" s="1" t="n">
        <f aca="false">IF(MOD(SUM(Q74:Y74),2)=0,1,0)</f>
        <v>0</v>
      </c>
      <c r="Q76" s="1" t="s">
        <v>48</v>
      </c>
      <c r="R76" s="1" t="n">
        <f aca="false">G74</f>
        <v>0</v>
      </c>
      <c r="T76" s="1" t="s">
        <v>49</v>
      </c>
      <c r="V76" s="1" t="n">
        <f aca="false">IF(Z74=0,1,0)</f>
        <v>0</v>
      </c>
      <c r="X76" s="1" t="s">
        <v>50</v>
      </c>
      <c r="Y76" s="1" t="n">
        <f aca="false">F74</f>
        <v>1</v>
      </c>
    </row>
  </sheetData>
  <mergeCells count="7">
    <mergeCell ref="AC23:AC26"/>
    <mergeCell ref="AC31:AC34"/>
    <mergeCell ref="AC39:AC42"/>
    <mergeCell ref="AC47:AC50"/>
    <mergeCell ref="AC55:AC58"/>
    <mergeCell ref="AC63:AC66"/>
    <mergeCell ref="AC71:AC74"/>
  </mergeCells>
  <printOptions headings="false" gridLines="false" gridLinesSet="true" horizontalCentered="false" verticalCentered="false"/>
  <pageMargins left="0.7875" right="0.7875" top="1.38611111111111" bottom="1.21944444444444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Roman,Обычный"&amp;12Кобленц Мария Алексеевна
Вариант №32
i_lab_5.xlsx</oddHeader>
    <oddFooter>&amp;C&amp;"Times New Roman,Обычный"&amp;12 21.12.2025
10:52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2025-11-15T13:32:14Z</dcterms:created>
  <dc:creator/>
  <dc:description/>
  <dc:language>ru-RU</dc:language>
  <cp:lastModifiedBy/>
  <dcterms:modified xsi:type="dcterms:W3CDTF">2025-11-22T13:01:45Z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